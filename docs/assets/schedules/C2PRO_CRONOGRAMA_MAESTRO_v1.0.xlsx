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esus_\Documents\AI\ZTWQ\c2pro\docs\"/>
    </mc:Choice>
  </mc:AlternateContent>
  <xr:revisionPtr revIDLastSave="0" documentId="13_ncr:1_{26CD2AB5-FE67-40A0-9F56-19211FE49371}" xr6:coauthVersionLast="47" xr6:coauthVersionMax="47" xr10:uidLastSave="{00000000-0000-0000-0000-000000000000}"/>
  <bookViews>
    <workbookView xWindow="384" yWindow="384" windowWidth="17280" windowHeight="8880" activeTab="1" xr2:uid="{00000000-000D-0000-FFFF-FFFF00000000}"/>
  </bookViews>
  <sheets>
    <sheet name="📊 Resumen Ejecutivo" sheetId="1" r:id="rId1"/>
    <sheet name="📋 Backlog Completo" sheetId="2" r:id="rId2"/>
    <sheet name="🔄 Sprint 2" sheetId="3" r:id="rId3"/>
    <sheet name="🔄 Sprint 3" sheetId="4" r:id="rId4"/>
    <sheet name="🔄 Sprint 4" sheetId="5" r:id="rId5"/>
    <sheet name="🔄 Sprint 5" sheetId="6" r:id="rId6"/>
    <sheet name="🔄 Sprint 6" sheetId="7" r:id="rId7"/>
    <sheet name="📊 Datos Gantt" sheetId="8" r:id="rId8"/>
    <sheet name="🔗 Dependencias" sheetId="9" r:id="rId9"/>
    <sheet name="🏷️ Por Dominio" sheetId="10" r:id="rId10"/>
    <sheet name="⚠️ Riesgos" sheetId="11" r:id="rId11"/>
    <sheet name="📅 Timeline Semanal" sheetId="12" r:id="rId12"/>
  </sheets>
  <definedNames>
    <definedName name="_xlnm._FilterDatabase" localSheetId="1" hidden="1">'📋 Backlog Completo'!$A$1:$Q$134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2" l="1"/>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53" i="2"/>
  <c r="V54" i="2"/>
  <c r="V55"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2" i="2"/>
  <c r="V1" i="2"/>
  <c r="U27" i="2" a="1"/>
  <c r="U2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<sst xmlns="http://schemas.openxmlformats.org/spreadsheetml/2006/main" count="4259" uniqueCount="883">
  <si>
    <t>C2Pro - Cronograma Maestro MVP Fase 1</t>
  </si>
  <si>
    <t>Generado: 08/01/2026 23:04 | Versión: 1.0</t>
  </si>
  <si>
    <t>📈 MÉTRICAS CLAVE</t>
  </si>
  <si>
    <t>Total Tareas</t>
  </si>
  <si>
    <t>Story Points Total</t>
  </si>
  <si>
    <t>Tareas P0 (Críticas)</t>
  </si>
  <si>
    <t>Tareas P1 (Altas)</t>
  </si>
  <si>
    <t>Tareas P2 (Medias)</t>
  </si>
  <si>
    <t>Sprints Planificados</t>
  </si>
  <si>
    <t>Semanas Totales</t>
  </si>
  <si>
    <t>Gates CTO Cubiertas</t>
  </si>
  <si>
    <t>📅 DISTRIBUCIÓN POR SPRINT</t>
  </si>
  <si>
    <t>Sprint</t>
  </si>
  <si>
    <t>Tareas</t>
  </si>
  <si>
    <t>Story Points</t>
  </si>
  <si>
    <t>P0</t>
  </si>
  <si>
    <t>P1</t>
  </si>
  <si>
    <t>P2</t>
  </si>
  <si>
    <t>Sprint 2</t>
  </si>
  <si>
    <t>Sprint 3</t>
  </si>
  <si>
    <t>Sprint 4</t>
  </si>
  <si>
    <t>Sprint 5</t>
  </si>
  <si>
    <t>Sprint 6</t>
  </si>
  <si>
    <t>🔒 CTO GATES - ESTADO</t>
  </si>
  <si>
    <t>Gate</t>
  </si>
  <si>
    <t>Descripción</t>
  </si>
  <si>
    <t>Estado</t>
  </si>
  <si>
    <t>Evidencia</t>
  </si>
  <si>
    <t>Gate 1</t>
  </si>
  <si>
    <t>Multi-tenant RLS</t>
  </si>
  <si>
    <t>✅ Validado</t>
  </si>
  <si>
    <t>19/19 tablas</t>
  </si>
  <si>
    <t>Gate 2</t>
  </si>
  <si>
    <t>Identity Model</t>
  </si>
  <si>
    <t>UNIQUE constraint</t>
  </si>
  <si>
    <t>Gate 3</t>
  </si>
  <si>
    <t>MCP Security</t>
  </si>
  <si>
    <t>23/23 tests</t>
  </si>
  <si>
    <t>Gate 4</t>
  </si>
  <si>
    <t>Legal Traceability</t>
  </si>
  <si>
    <t>4 FKs clauses</t>
  </si>
  <si>
    <t>Gate 5</t>
  </si>
  <si>
    <t>Coherence Score</t>
  </si>
  <si>
    <t>🟡 En Progreso</t>
  </si>
  <si>
    <t>Calibración Sprint 3</t>
  </si>
  <si>
    <t>Gate 6</t>
  </si>
  <si>
    <t>Human-in-the-loop</t>
  </si>
  <si>
    <t>UX Sprint 4</t>
  </si>
  <si>
    <t>Gate 7</t>
  </si>
  <si>
    <t>Observability</t>
  </si>
  <si>
    <t>Dashboard Sprint 4</t>
  </si>
  <si>
    <t>Gate 8</t>
  </si>
  <si>
    <t>Document Security</t>
  </si>
  <si>
    <t>Cifrado Sprint 5</t>
  </si>
  <si>
    <t>ID</t>
  </si>
  <si>
    <t>Nombre</t>
  </si>
  <si>
    <t>Semana</t>
  </si>
  <si>
    <t>Fecha_Inicio</t>
  </si>
  <si>
    <t>Fecha_Fin</t>
  </si>
  <si>
    <t>Duracion_Dias</t>
  </si>
  <si>
    <t>Prioridad</t>
  </si>
  <si>
    <t>Dominio</t>
  </si>
  <si>
    <t>CTO_Gate</t>
  </si>
  <si>
    <t>Dependencias</t>
  </si>
  <si>
    <t>Asignado</t>
  </si>
  <si>
    <t>Criterio_Aceptacion</t>
  </si>
  <si>
    <t>Riesgo</t>
  </si>
  <si>
    <t>Entregable</t>
  </si>
  <si>
    <t>Story_Points</t>
  </si>
  <si>
    <t>CE-S2-001</t>
  </si>
  <si>
    <t>Schemas Pydantic Documents Module</t>
  </si>
  <si>
    <t>Semana 2</t>
  </si>
  <si>
    <t>2026-01-09</t>
  </si>
  <si>
    <t>2026-01-10</t>
  </si>
  <si>
    <t>Pendiente</t>
  </si>
  <si>
    <t>Backend</t>
  </si>
  <si>
    <t>Ninguna</t>
  </si>
  <si>
    <t>Backend Lead</t>
  </si>
  <si>
    <t>Request/Response DTOs con clause_id y OpenAPI spec generada</t>
  </si>
  <si>
    <t>Bajo</t>
  </si>
  <si>
    <t>apps/api/src/modules/documents/schemas.py</t>
  </si>
  <si>
    <t>CE-S2-002</t>
  </si>
  <si>
    <t>Schemas Pydantic Analysis Module</t>
  </si>
  <si>
    <t>DTOs Alert/Analysis con evidence_json y validaciones Pydantic v2</t>
  </si>
  <si>
    <t>apps/api/src/modules/analysis/schemas.py</t>
  </si>
  <si>
    <t>CE-S2-003</t>
  </si>
  <si>
    <t>Schemas Pydantic Stakeholders Module</t>
  </si>
  <si>
    <t>2026-01-11</t>
  </si>
  <si>
    <t>DTOs Stakeholder/WBS/BOM/RACI con clause_id FK</t>
  </si>
  <si>
    <t>apps/api/src/modules/stakeholders/schemas.py</t>
  </si>
  <si>
    <t>CE-S2-004</t>
  </si>
  <si>
    <t>Implementar Redis/Upstash Cache</t>
  </si>
  <si>
    <t>Infrastructure</t>
  </si>
  <si>
    <t>DevOps</t>
  </si>
  <si>
    <t>Cache extracciones por hash documento TTL 24h hit ratio &gt;80%</t>
  </si>
  <si>
    <t>Medio</t>
  </si>
  <si>
    <t>apps/api/src/core/cache.py</t>
  </si>
  <si>
    <t>CE-S2-005</t>
  </si>
  <si>
    <t>Model Routing Dinámico Config</t>
  </si>
  <si>
    <t>AI</t>
  </si>
  <si>
    <t>AI Lead</t>
  </si>
  <si>
    <t>Config YAML routing Sonnet/Haiku por operación</t>
  </si>
  <si>
    <t>apps/api/src/ai/model_routing.yaml</t>
  </si>
  <si>
    <t>CE-S2-006</t>
  </si>
  <si>
    <t>Caché de Prompts Idénticos</t>
  </si>
  <si>
    <t>Hash SHA-256 input resultado cacheado 24h</t>
  </si>
  <si>
    <t>apps/api/src/ai/prompt_cache.py</t>
  </si>
  <si>
    <t>CE-S2-007</t>
  </si>
  <si>
    <t>LLM Client Wrapper Anthropic</t>
  </si>
  <si>
    <t>SDK retry exponential backoff logging cost tracking</t>
  </si>
  <si>
    <t>apps/api/src/ai/llm_client.py</t>
  </si>
  <si>
    <t>CE-S2-008</t>
  </si>
  <si>
    <t>Prompt Templates con Versioning</t>
  </si>
  <si>
    <t>Template engine con variables versión en metadata</t>
  </si>
  <si>
    <t>CE-S2-009</t>
  </si>
  <si>
    <t>Error Handling Consistente API</t>
  </si>
  <si>
    <t>Excepciones custom códigos HTTP JSON estructurado</t>
  </si>
  <si>
    <t>apps/api/src/core/exceptions.py</t>
  </si>
  <si>
    <t>CE-S2-010</t>
  </si>
  <si>
    <t>Wireframes 6 Vistas Core</t>
  </si>
  <si>
    <t>UX/UI</t>
  </si>
  <si>
    <t>UX Designer</t>
  </si>
  <si>
    <t>Wireframes Dashboard/Projects/Evidence/Alerts/Stakeholders/RACI</t>
  </si>
  <si>
    <t>docs/wireframes/</t>
  </si>
  <si>
    <t>CE-S2-011</t>
  </si>
  <si>
    <t>Setup Next.js 14 + Tailwind + shadcn/ui</t>
  </si>
  <si>
    <t>Frontend</t>
  </si>
  <si>
    <t>Frontend Lead</t>
  </si>
  <si>
    <t>Proyecto configurado componentes base app renderiza</t>
  </si>
  <si>
    <t>apps/web/</t>
  </si>
  <si>
    <t>CE-S2-012</t>
  </si>
  <si>
    <t>GitHub Actions CI Completo</t>
  </si>
  <si>
    <t>Lint/test/build cada PR bloqueados sin CI verde</t>
  </si>
  <si>
    <t>.github/workflows/ci.yml</t>
  </si>
  <si>
    <t>CE-S2-013</t>
  </si>
  <si>
    <t>Auto-deploy Staging on Merge Main</t>
  </si>
  <si>
    <t>Railway + Vercel webhooks merge deploy &lt;5 min</t>
  </si>
  <si>
    <t>.github/workflows/deploy-staging.yml</t>
  </si>
  <si>
    <t>CE-S2-014</t>
  </si>
  <si>
    <t>Benchmark Baseline Endpoints</t>
  </si>
  <si>
    <t>Performance</t>
  </si>
  <si>
    <t>Latencia P50/P95/P99 métricas baseline documentadas</t>
  </si>
  <si>
    <t>docs/performance/baseline.md</t>
  </si>
  <si>
    <t>CE-S2-015</t>
  </si>
  <si>
    <t>Golden Dataset v1.0 (10 proyectos)</t>
  </si>
  <si>
    <t>Testing</t>
  </si>
  <si>
    <t>QA Lead</t>
  </si>
  <si>
    <t>10 proyectos sintéticos anotados README incluido</t>
  </si>
  <si>
    <t>tests/golden/</t>
  </si>
  <si>
    <t>CE-S2-016</t>
  </si>
  <si>
    <t>Tests Regresión Accuracy CI</t>
  </si>
  <si>
    <t>CI compara accuracy vs baseline falla si &lt;85%</t>
  </si>
  <si>
    <t>tests/accuracy/</t>
  </si>
  <si>
    <t>CE-S3-001</t>
  </si>
  <si>
    <t>Parser PDF con PyMuPDF</t>
  </si>
  <si>
    <t>Semana 3</t>
  </si>
  <si>
    <t>2026-01-13</t>
  </si>
  <si>
    <t>2026-01-15</t>
  </si>
  <si>
    <t>Extracción texto posiciones offsets 10 PDFs test</t>
  </si>
  <si>
    <t>apps/api/src/parsers/pdf_parser.py</t>
  </si>
  <si>
    <t>CE-S3-002</t>
  </si>
  <si>
    <t>Parser Excel con openpyxl</t>
  </si>
  <si>
    <t>2026-01-14</t>
  </si>
  <si>
    <t>Lectura cronogramas presupuestos formatos estándar</t>
  </si>
  <si>
    <t>apps/api/src/parsers/excel_parser.py</t>
  </si>
  <si>
    <t>CE-S3-003</t>
  </si>
  <si>
    <t>Parser BC3 con pyfiebdc</t>
  </si>
  <si>
    <t>2026-01-16</t>
  </si>
  <si>
    <t>Partidas presupuestarias españolas BC3 100%</t>
  </si>
  <si>
    <t>apps/api/src/parsers/bc3_parser.py</t>
  </si>
  <si>
    <t>CE-S3-004</t>
  </si>
  <si>
    <t>Anonymizer Service PII</t>
  </si>
  <si>
    <t>2026-01-17</t>
  </si>
  <si>
    <t>Security</t>
  </si>
  <si>
    <t>Security Lead</t>
  </si>
  <si>
    <t>Detección hash DNI/email/teléfono/IBAN 0 PII Claude</t>
  </si>
  <si>
    <t>Alto</t>
  </si>
  <si>
    <t>apps/api/src/services/anonymizer.py</t>
  </si>
  <si>
    <t>CE-S3-005</t>
  </si>
  <si>
    <t>ClauseExtractorAgent</t>
  </si>
  <si>
    <t>Extracción cláusulas IDs estables únicos documento</t>
  </si>
  <si>
    <t>apps/api/src/agents/clause_extractor.py</t>
  </si>
  <si>
    <t>CE-S3-006</t>
  </si>
  <si>
    <t>Task Queue Celery/Redis</t>
  </si>
  <si>
    <t>Jobs async parsing coherence 100 pág no bloquea</t>
  </si>
  <si>
    <t>apps/api/src/tasks/</t>
  </si>
  <si>
    <t>CE-S3-007</t>
  </si>
  <si>
    <t>Endpoint GET /projects/{id}/coherence-score</t>
  </si>
  <si>
    <t>API</t>
  </si>
  <si>
    <t>Response schema validado score + breakdown</t>
  </si>
  <si>
    <t>apps/api/src/routers/projects.py</t>
  </si>
  <si>
    <t>CE-S3-008</t>
  </si>
  <si>
    <t>Endpoints CRUD /projects</t>
  </si>
  <si>
    <t>List/Get/Create/Update/Delete tests integración</t>
  </si>
  <si>
    <t>CE-S3-009</t>
  </si>
  <si>
    <t>Health Check Endpoints</t>
  </si>
  <si>
    <t>/health /ready /live UptimeRobot configurado</t>
  </si>
  <si>
    <t>apps/api/src/routers/health.py</t>
  </si>
  <si>
    <t>CE-S3-010</t>
  </si>
  <si>
    <t>Secrets Management GitHub</t>
  </si>
  <si>
    <t>Separación secrets entorno 0 secrets código</t>
  </si>
  <si>
    <t>.github/workflows/</t>
  </si>
  <si>
    <t>CE-S3-011</t>
  </si>
  <si>
    <t>Tests Integración Parsers</t>
  </si>
  <si>
    <t>CE-S3-001;CE-S3-002;CE-S3-003</t>
  </si>
  <si>
    <t>Tests archivos reales PDF/Excel/BC3 10 correctos</t>
  </si>
  <si>
    <t>tests/integration/parsers/</t>
  </si>
  <si>
    <t>CE-S3-012</t>
  </si>
  <si>
    <t>Propagar clause_id a Stakeholders</t>
  </si>
  <si>
    <t>source_clause_id populated 100% stakeholders FK</t>
  </si>
  <si>
    <t>apps/api/src/services/stakeholder_service.py</t>
  </si>
  <si>
    <t>CE-S4-001</t>
  </si>
  <si>
    <t>AI Service + Claude API Integration</t>
  </si>
  <si>
    <t>Semana 4</t>
  </si>
  <si>
    <t>2026-01-20</t>
  </si>
  <si>
    <t>2026-01-21</t>
  </si>
  <si>
    <t>Extracción funciona llamadas logueadas retry</t>
  </si>
  <si>
    <t>apps/api/src/ai/ai_service.py</t>
  </si>
  <si>
    <t>CE-S4-002</t>
  </si>
  <si>
    <t>Cost Controller Budget</t>
  </si>
  <si>
    <t>Bloquea LLM exceder budget alertas 50/75/90/100%</t>
  </si>
  <si>
    <t>apps/api/src/ai/cost_controller.py</t>
  </si>
  <si>
    <t>CE-S4-003</t>
  </si>
  <si>
    <t>WBSGeneratorAgent</t>
  </si>
  <si>
    <t>2026-01-22</t>
  </si>
  <si>
    <t>WBS 4 niveles contrato requires_approval=True</t>
  </si>
  <si>
    <t>apps/api/src/agents/wbs_generator.py</t>
  </si>
  <si>
    <t>CE-S4-004</t>
  </si>
  <si>
    <t>BOMBuilderAgent</t>
  </si>
  <si>
    <t>2026-01-23</t>
  </si>
  <si>
    <t>CE-S4-001;CE-S4-003</t>
  </si>
  <si>
    <t>BOM lead times WBS contract_clause_id populated</t>
  </si>
  <si>
    <t>apps/api/src/agents/bom_builder.py</t>
  </si>
  <si>
    <t>CE-S4-005</t>
  </si>
  <si>
    <t>Implementar 8 Reglas Coherencia Restantes</t>
  </si>
  <si>
    <t>2026-01-24</t>
  </si>
  <si>
    <t>CE-S4-003;CE-S4-004</t>
  </si>
  <si>
    <t>R2/R6/R11/R12/R14/R15/R19/R20 10/10 reglas tests</t>
  </si>
  <si>
    <t>apps/api/src/coherence/rules/</t>
  </si>
  <si>
    <t>CE-S4-006</t>
  </si>
  <si>
    <t>AlertGenerator con Evidencias</t>
  </si>
  <si>
    <t>Alertas source_clause_id affected_ids evidence_json</t>
  </si>
  <si>
    <t>apps/api/src/coherence/alert_generator.py</t>
  </si>
  <si>
    <t>CE-S4-007</t>
  </si>
  <si>
    <t>Calibrar Coherence Score 10 Reglas</t>
  </si>
  <si>
    <t>CE-S4-005;CE-S2-015</t>
  </si>
  <si>
    <t>Score correlaciona &gt;0.85 evaluación experta</t>
  </si>
  <si>
    <t>scripts/run_calibration.py</t>
  </si>
  <si>
    <t>CE-S4-008</t>
  </si>
  <si>
    <t>Documentar Fórmula Score Auditoría</t>
  </si>
  <si>
    <t>Documentation</t>
  </si>
  <si>
    <t>scoring_methodology_v1.md pesos finales CTO aprueba</t>
  </si>
  <si>
    <t>docs/coherence_engine/scoring_methodology_v1.md</t>
  </si>
  <si>
    <t>CE-S4-009</t>
  </si>
  <si>
    <t>Endpoints /projects/{id}/alerts</t>
  </si>
  <si>
    <t>List filtros/Get/Resolve incluye source_clause_id</t>
  </si>
  <si>
    <t>apps/api/src/routers/alerts.py</t>
  </si>
  <si>
    <t>CE-S4-010</t>
  </si>
  <si>
    <t>Endpoints /projects/{id}/documents</t>
  </si>
  <si>
    <t>CE-S2-001;CE-S3-006</t>
  </si>
  <si>
    <t>Upload async status polling List/Get/Delete</t>
  </si>
  <si>
    <t>apps/api/src/routers/documents.py</t>
  </si>
  <si>
    <t>CE-S4-011</t>
  </si>
  <si>
    <t>Script Rollback Automatizado</t>
  </si>
  <si>
    <t>Rollback DB PITR + código git revert staging</t>
  </si>
  <si>
    <t>scripts/rollback.sh</t>
  </si>
  <si>
    <t>CE-S4-012</t>
  </si>
  <si>
    <t>Paginación Cursor-based Endpoints</t>
  </si>
  <si>
    <t>Ningún endpoint &gt;100 items sin paginar</t>
  </si>
  <si>
    <t>apps/api/src/core/pagination.py</t>
  </si>
  <si>
    <t>CE-S4-013</t>
  </si>
  <si>
    <t>Optimizar Queries SQL EXPLAIN</t>
  </si>
  <si>
    <t>Queries lentas optimizadas 0 queries &gt;100ms</t>
  </si>
  <si>
    <t>docs/performance/sql_optimization.md</t>
  </si>
  <si>
    <t>CE-S4-014</t>
  </si>
  <si>
    <t>Índices Adicionales Búsqueda</t>
  </si>
  <si>
    <t>Database</t>
  </si>
  <si>
    <t>Índices campos filtro queries búsqueda &lt;50ms</t>
  </si>
  <si>
    <t>infrastructure/supabase/migrations/007_indexes.sql</t>
  </si>
  <si>
    <t>CE-S4-015</t>
  </si>
  <si>
    <t>Tests Integración Coherence Engine</t>
  </si>
  <si>
    <t>Tests proyectos golden 10 reglas correctas</t>
  </si>
  <si>
    <t>tests/integration/coherence/</t>
  </si>
  <si>
    <t>CE-S5-001</t>
  </si>
  <si>
    <t>StakeholderExtractorAgent</t>
  </si>
  <si>
    <t>Semana 5</t>
  </si>
  <si>
    <t>2026-01-27</t>
  </si>
  <si>
    <t>2026-01-29</t>
  </si>
  <si>
    <t>Extracción NLP nombres/roles &gt;80% accuracy golden</t>
  </si>
  <si>
    <t>apps/api/src/agents/stakeholder_extractor.py</t>
  </si>
  <si>
    <t>CE-S5-002</t>
  </si>
  <si>
    <t>StakeholderClassifier Power/Interest</t>
  </si>
  <si>
    <t>2026-01-28</t>
  </si>
  <si>
    <t>Cuadrante asignado automáticamente 4 cuadrantes</t>
  </si>
  <si>
    <t>apps/api/src/services/stakeholder_classifier.py</t>
  </si>
  <si>
    <t>CE-S5-003</t>
  </si>
  <si>
    <t>RACIGeneratorAgent</t>
  </si>
  <si>
    <t>2026-01-30</t>
  </si>
  <si>
    <t>CE-S5-001;CE-S4-003</t>
  </si>
  <si>
    <t>Matriz RACI generada requires_review=True</t>
  </si>
  <si>
    <t>apps/api/src/agents/raci_generator.py</t>
  </si>
  <si>
    <t>CE-S5-004</t>
  </si>
  <si>
    <t>Human-in-Loop Workflow Backend</t>
  </si>
  <si>
    <t>Endpoint aprobar/rechazar outputs agentes</t>
  </si>
  <si>
    <t>apps/api/src/routers/approvals.py</t>
  </si>
  <si>
    <t>CE-S5-005</t>
  </si>
  <si>
    <t>Knowledge Graph Básico NetworkX</t>
  </si>
  <si>
    <t>2026-01-31</t>
  </si>
  <si>
    <t>Nodos + edges queries multi-hop funcionan</t>
  </si>
  <si>
    <t>apps/api/src/services/knowledge_graph.py</t>
  </si>
  <si>
    <t>CE-S5-006</t>
  </si>
  <si>
    <t>Prompt Extracción Cláusulas Optimizado</t>
  </si>
  <si>
    <t>&gt;85% accuracy tipo/código/texto golden dataset</t>
  </si>
  <si>
    <t>prompts/v1/clause_extraction.md</t>
  </si>
  <si>
    <t>CE-S5-007</t>
  </si>
  <si>
    <t>Prompt Clasificación Stakeholders</t>
  </si>
  <si>
    <t>&gt;80% accuracy clasificación poder/interés</t>
  </si>
  <si>
    <t>prompts/v1/stakeholder_classification.md</t>
  </si>
  <si>
    <t>CE-S5-008</t>
  </si>
  <si>
    <t>LlmRuleEvaluator Base Class</t>
  </si>
  <si>
    <t>Evaluador prompts reglas cualitativas interface</t>
  </si>
  <si>
    <t>apps/api/src/coherence/llm_rule_evaluator.py</t>
  </si>
  <si>
    <t>CE-S5-009</t>
  </si>
  <si>
    <t>Primera Regla LLM Cualitativa</t>
  </si>
  <si>
    <t>Regla detectar ambigüedades alcance evaluable</t>
  </si>
  <si>
    <t>apps/api/src/coherence/rules/scope_ambiguity.py</t>
  </si>
  <si>
    <t>CE-S5-010</t>
  </si>
  <si>
    <t>Endpoints /projects/{id}/stakeholders</t>
  </si>
  <si>
    <t>CRUD + clasificación source_clause_id</t>
  </si>
  <si>
    <t>apps/api/src/routers/stakeholders.py</t>
  </si>
  <si>
    <t>CE-S5-011</t>
  </si>
  <si>
    <t>Endpoints /projects/{id}/raci</t>
  </si>
  <si>
    <t>Get matrix/Update human-in-loop flag</t>
  </si>
  <si>
    <t>apps/api/src/routers/raci.py</t>
  </si>
  <si>
    <t>CE-S5-012</t>
  </si>
  <si>
    <t>Dashboard Observabilidad Básico</t>
  </si>
  <si>
    <t>Vista consumo tokens alertas automáticas budget</t>
  </si>
  <si>
    <t>apps/web/src/pages/admin/observability.tsx</t>
  </si>
  <si>
    <t>CE-S5-013</t>
  </si>
  <si>
    <t>Rate Limiting por Tenant Redis</t>
  </si>
  <si>
    <t>60 req/min tenant 20 req/min user configurable</t>
  </si>
  <si>
    <t>apps/api/src/middleware/rate_limiter.py</t>
  </si>
  <si>
    <t>CE-S5-014</t>
  </si>
  <si>
    <t>Budget Alerts Email/Webhook</t>
  </si>
  <si>
    <t>Notificaciones admin 50/75/90/100% budget</t>
  </si>
  <si>
    <t>apps/api/src/services/budget_alerts.py</t>
  </si>
  <si>
    <t>CE-S5-015</t>
  </si>
  <si>
    <t>Tests Integración Stakeholder Flow</t>
  </si>
  <si>
    <t>CE-S5-001;CE-S5-003</t>
  </si>
  <si>
    <t>Extracción Clasificación RACI flujo completo</t>
  </si>
  <si>
    <t>tests/integration/stakeholders/</t>
  </si>
  <si>
    <t>CE-S6-001</t>
  </si>
  <si>
    <t>Vista Dashboard + Score Gauge</t>
  </si>
  <si>
    <t>Semana 6</t>
  </si>
  <si>
    <t>2026-02-02</t>
  </si>
  <si>
    <t>2026-02-03</t>
  </si>
  <si>
    <t>Score 0-100 visual colores carga &lt;2s gauge animado</t>
  </si>
  <si>
    <t>apps/web/src/pages/dashboard.tsx</t>
  </si>
  <si>
    <t>CE-S6-002</t>
  </si>
  <si>
    <t>Vista Lista Proyectos</t>
  </si>
  <si>
    <t>Filtros estado/búsqueda/orden paginación</t>
  </si>
  <si>
    <t>apps/web/src/pages/projects/index.tsx</t>
  </si>
  <si>
    <t>CE-S6-003</t>
  </si>
  <si>
    <t>Evidence Viewer Links Cláusulas</t>
  </si>
  <si>
    <t>2026-02-04</t>
  </si>
  <si>
    <t>Click alerta cláusula WBS/BOM navegación bidireccional</t>
  </si>
  <si>
    <t>apps/web/src/components/EvidenceViewer.tsx</t>
  </si>
  <si>
    <t>CE-S6-004</t>
  </si>
  <si>
    <t>Panel Alertas Filtros Severidad</t>
  </si>
  <si>
    <t>Vista alertas abiertas/resolved filtros bulk actions</t>
  </si>
  <si>
    <t>apps/web/src/pages/alerts.tsx</t>
  </si>
  <si>
    <t>CE-S6-005</t>
  </si>
  <si>
    <t>Stakeholder Map Matriz Poder/Interés</t>
  </si>
  <si>
    <t>2026-02-05</t>
  </si>
  <si>
    <t>Visualización interactiva cuadrantes drag &amp; drop</t>
  </si>
  <si>
    <t>apps/web/src/components/StakeholderMap.tsx</t>
  </si>
  <si>
    <t>CE-S6-006</t>
  </si>
  <si>
    <t>RACI Viewer Editable</t>
  </si>
  <si>
    <t>Tabla WBS x Stakeholders RACI edición inline</t>
  </si>
  <si>
    <t>apps/web/src/components/RACIViewer.tsx</t>
  </si>
  <si>
    <t>CE-S6-007</t>
  </si>
  <si>
    <t>Modal Human-in-Loop Confirmación</t>
  </si>
  <si>
    <t>Confirmación aprobar/rechazar outputs IA workflow</t>
  </si>
  <si>
    <t>apps/web/src/components/ApprovalModal.tsx</t>
  </si>
  <si>
    <t>CE-S6-008</t>
  </si>
  <si>
    <t>Endpoints /projects/{id}/wbs y /bom</t>
  </si>
  <si>
    <t>CRUD WBS/BOM jerarquía WBS representada</t>
  </si>
  <si>
    <t>apps/api/src/routers/wbs.py</t>
  </si>
  <si>
    <t>CE-S6-009</t>
  </si>
  <si>
    <t>Endpoint POST /projects/{id}/analyze</t>
  </si>
  <si>
    <t>Trigger análisis async retorna job_id polling</t>
  </si>
  <si>
    <t>apps/api/src/routers/analysis.py</t>
  </si>
  <si>
    <t>CE-S6-010</t>
  </si>
  <si>
    <t>Propagar clause_id a WBS Items</t>
  </si>
  <si>
    <t>funded_by_clause_id auto 100% WBS con FK</t>
  </si>
  <si>
    <t>apps/api/src/services/wbs_service.py</t>
  </si>
  <si>
    <t>CE-S6-011</t>
  </si>
  <si>
    <t>Propagar clause_id a BOM Items</t>
  </si>
  <si>
    <t>contract_clause_id auto 100% BOM con FK</t>
  </si>
  <si>
    <t>apps/api/src/services/bom_service.py</t>
  </si>
  <si>
    <t>CE-S6-012</t>
  </si>
  <si>
    <t>Evidence Viewer Logic Query</t>
  </si>
  <si>
    <t>CE-S6-010;CE-S6-011</t>
  </si>
  <si>
    <t>Query reconstruye clause WBS BOM dado alert_id</t>
  </si>
  <si>
    <t>apps/api/src/services/evidence_service.py</t>
  </si>
  <si>
    <t>CE-S6-013</t>
  </si>
  <si>
    <t>Graph RAG Service Abstracción</t>
  </si>
  <si>
    <t>Interface GraphStore impl NetworkX tests mock</t>
  </si>
  <si>
    <t>apps/api/src/services/graph_store.py</t>
  </si>
  <si>
    <t>CE-S6-014</t>
  </si>
  <si>
    <t>Circuit Breaker Claude API</t>
  </si>
  <si>
    <t>Retry backoff fallback caché API degradada ok</t>
  </si>
  <si>
    <t>apps/api/src/ai/circuit_breaker.py</t>
  </si>
  <si>
    <t>CE-S6-015</t>
  </si>
  <si>
    <t>Async Processing Parsing Background</t>
  </si>
  <si>
    <t>Parsing background polling status upload inmediato</t>
  </si>
  <si>
    <t>apps/api/src/tasks/parsing_tasks.py</t>
  </si>
  <si>
    <t>CE-S7-001</t>
  </si>
  <si>
    <t>Cifrado Documentos R2 AES-256</t>
  </si>
  <si>
    <t>Semana 7</t>
  </si>
  <si>
    <t>2026-02-09</t>
  </si>
  <si>
    <t>Server-side encryption keys tenant docs cifrados</t>
  </si>
  <si>
    <t>apps/api/src/storage/encryption.py</t>
  </si>
  <si>
    <t>CE-S7-002</t>
  </si>
  <si>
    <t>Política Retención Soft Delete</t>
  </si>
  <si>
    <t>Soft delete hard delete 30 días job limpieza</t>
  </si>
  <si>
    <t>apps/api/src/tasks/retention_job.py</t>
  </si>
  <si>
    <t>CE-S7-003</t>
  </si>
  <si>
    <t>Auto-block Degradación Graceful</t>
  </si>
  <si>
    <t>2026-02-10</t>
  </si>
  <si>
    <t>Bloquear LLM 100% budget sistema sigue sin IA</t>
  </si>
  <si>
    <t>apps/api/src/ai/budget_blocker.py</t>
  </si>
  <si>
    <t>CE-S7-004</t>
  </si>
  <si>
    <t>Optimizar Prompts Reducir Tokens</t>
  </si>
  <si>
    <t>2026-02-11</t>
  </si>
  <si>
    <t>Few-shot reducido 20% reducción tokens promedio</t>
  </si>
  <si>
    <t>prompts/v1/</t>
  </si>
  <si>
    <t>CE-S7-005</t>
  </si>
  <si>
    <t>Dashboard Costes por Proyecto</t>
  </si>
  <si>
    <t>Breakdown costes operación/modelo coste real-time</t>
  </si>
  <si>
    <t>apps/web/src/components/CostDashboard.tsx</t>
  </si>
  <si>
    <t>CE-S7-006</t>
  </si>
  <si>
    <t>Batch Processing Múltiples Docs</t>
  </si>
  <si>
    <t>3 docs &lt;3x individual descuento contexto</t>
  </si>
  <si>
    <t>apps/api/src/tasks/batch_processing.py</t>
  </si>
  <si>
    <t>CE-S7-007</t>
  </si>
  <si>
    <t>Prompt Generación RACI</t>
  </si>
  <si>
    <t>Mapeo stakeholder WBS razonamiento RACI coherente</t>
  </si>
  <si>
    <t>prompts/v1/raci_generation.md</t>
  </si>
  <si>
    <t>CE-S7-008</t>
  </si>
  <si>
    <t>A/B Testing Prompts Framework</t>
  </si>
  <si>
    <t>2026-02-12</t>
  </si>
  <si>
    <t>Framework comparar versiones métricas auto</t>
  </si>
  <si>
    <t>apps/api/src/ai/ab_testing.py</t>
  </si>
  <si>
    <t>CE-S7-009</t>
  </si>
  <si>
    <t>Fallback Prompts Edge Cases</t>
  </si>
  <si>
    <t>CE-S5-006;CE-S5-007</t>
  </si>
  <si>
    <t>Prompts alternativos 0 errores fatales</t>
  </si>
  <si>
    <t>prompts/v1/fallbacks/</t>
  </si>
  <si>
    <t>CE-S7-010</t>
  </si>
  <si>
    <t>Export PDF Trazabilidad</t>
  </si>
  <si>
    <t>PDF alertas referencias cláusulas links internos</t>
  </si>
  <si>
    <t>apps/web/src/utils/pdf_export.ts</t>
  </si>
  <si>
    <t>CE-S7-011</t>
  </si>
  <si>
    <t>Disclaimer UI Obligatorio</t>
  </si>
  <si>
    <t>Aviso legal visible dashboard PDFs ROADMAP §1.4</t>
  </si>
  <si>
    <t>apps/web/src/components/Disclaimer.tsx</t>
  </si>
  <si>
    <t>CE-S7-012</t>
  </si>
  <si>
    <t>Validación Integridad Referencial</t>
  </si>
  <si>
    <t>Job FKs huérfanos alerta &lt;95% entidades FK</t>
  </si>
  <si>
    <t>apps/api/src/tasks/integrity_check.py</t>
  </si>
  <si>
    <t>CE-S7-013</t>
  </si>
  <si>
    <t>OpenAPI Spec Completa + Swagger</t>
  </si>
  <si>
    <t>CE-S4-009;CE-S5-010;CE-S6-008</t>
  </si>
  <si>
    <t>Documentación auto /docs todos endpoints</t>
  </si>
  <si>
    <t>apps/api/src/main.py</t>
  </si>
  <si>
    <t>CE-S7-014</t>
  </si>
  <si>
    <t>Versionado API v1/</t>
  </si>
  <si>
    <t>Prefijo /api/v1/ rutas legacy redirigen</t>
  </si>
  <si>
    <t>apps/api/src/routers/__init__.py</t>
  </si>
  <si>
    <t>CE-S7-015</t>
  </si>
  <si>
    <t>Refactorizar CoherenceEngine Open/Closed</t>
  </si>
  <si>
    <t>Plugins reglas sin modificar core</t>
  </si>
  <si>
    <t>apps/api/src/coherence/coherence_engine.py</t>
  </si>
  <si>
    <t>CE-S8-001</t>
  </si>
  <si>
    <t>Deploy Producción Approval Manual</t>
  </si>
  <si>
    <t>Semana 8</t>
  </si>
  <si>
    <t>2026-02-16</t>
  </si>
  <si>
    <t>GitHub Environment reviewers deploy prod 2 approvals</t>
  </si>
  <si>
    <t>.github/workflows/deploy-prod.yml</t>
  </si>
  <si>
    <t>CE-S8-002</t>
  </si>
  <si>
    <t>Monitoring Alertas Sentry/Uptime</t>
  </si>
  <si>
    <t>Sentry errores UptimeRobot alertas Slack &lt;1 min</t>
  </si>
  <si>
    <t>docs/runbooks/</t>
  </si>
  <si>
    <t>CE-S8-003</t>
  </si>
  <si>
    <t>Runbooks Troubleshooting</t>
  </si>
  <si>
    <t>2026-02-17</t>
  </si>
  <si>
    <t>5 runbooks incidentes comunes documentados</t>
  </si>
  <si>
    <t>CE-S8-004</t>
  </si>
  <si>
    <t>Documentar ADRs Pendientes</t>
  </si>
  <si>
    <t>Tech Lead</t>
  </si>
  <si>
    <t>ADR-009 a ADR-012 decisiones formato estándar</t>
  </si>
  <si>
    <t>docs/adrs/</t>
  </si>
  <si>
    <t>CE-S8-005</t>
  </si>
  <si>
    <t>Pre-commit Hooks Black/isort/mypy</t>
  </si>
  <si>
    <t>CI falla si hooks no pasan</t>
  </si>
  <si>
    <t>.pre-commit-config.yaml</t>
  </si>
  <si>
    <t>CE-S8-006</t>
  </si>
  <si>
    <t>Tests E2E Flujo Análisis Playwright</t>
  </si>
  <si>
    <t>2026-02-18</t>
  </si>
  <si>
    <t>CE-S6-009;CE-S6-001</t>
  </si>
  <si>
    <t>Upload Parse Analyze View Results happy path</t>
  </si>
  <si>
    <t>tests/e2e/</t>
  </si>
  <si>
    <t>CE-S8-007</t>
  </si>
  <si>
    <t>Tests Carga k6 100 Usuarios</t>
  </si>
  <si>
    <t>CE-S3-008;CE-S4-009</t>
  </si>
  <si>
    <t>100 usuarios &lt;1% error P95 &lt;2s</t>
  </si>
  <si>
    <t>tests/load/k6_scripts/</t>
  </si>
  <si>
    <t>CE-S8-008</t>
  </si>
  <si>
    <t>Optimizar Graph RAG Queries</t>
  </si>
  <si>
    <t>Limitar traversal caché subgrafos multi-hop &lt;200ms</t>
  </si>
  <si>
    <t>CE-S8-009</t>
  </si>
  <si>
    <t>CDN Assets Estáticos Cloudflare</t>
  </si>
  <si>
    <t>Assets cacheados TTFB &lt;100ms</t>
  </si>
  <si>
    <t>apps/web/next.config.js</t>
  </si>
  <si>
    <t>CE-S8-010</t>
  </si>
  <si>
    <t>Tests Casos Borde Parsers</t>
  </si>
  <si>
    <t>Docs vacíos/malformados/grandes gracefully</t>
  </si>
  <si>
    <t>tests/edge_cases/</t>
  </si>
  <si>
    <t>CE-S8-011</t>
  </si>
  <si>
    <t>Tests Recuperación Fallo Services</t>
  </si>
  <si>
    <t>Simular fallo DB/Claude/Redis recupera auto</t>
  </si>
  <si>
    <t>tests/resilience/</t>
  </si>
  <si>
    <t>CE-S8-012</t>
  </si>
  <si>
    <t>Aumentar Coverage &gt;80% Critical</t>
  </si>
  <si>
    <t>CE-S3-011;CE-S4-015;CE-S5-015</t>
  </si>
  <si>
    <t>pytest --cov &gt;80% módulos críticos</t>
  </si>
  <si>
    <t>tests/</t>
  </si>
  <si>
    <t>CE-S9-001</t>
  </si>
  <si>
    <t>Security Testing Final</t>
  </si>
  <si>
    <t>Semana 9</t>
  </si>
  <si>
    <t>2026-02-23</t>
  </si>
  <si>
    <t>Gate 1-8</t>
  </si>
  <si>
    <t>0 vulns high/critical penetration test MCP</t>
  </si>
  <si>
    <t>docs/security/audit_report.md</t>
  </si>
  <si>
    <t>CE-S9-002</t>
  </si>
  <si>
    <t>AI Accuracy Testing Golden Dataset</t>
  </si>
  <si>
    <t>&gt;85% accuracy extracción golden 50 proyectos</t>
  </si>
  <si>
    <t>tests/accuracy/final_report.md</t>
  </si>
  <si>
    <t>2</t>
  </si>
  <si>
    <t>CE-S9-003</t>
  </si>
  <si>
    <t>Load Testing Final 100 Usuarios</t>
  </si>
  <si>
    <t>2026-02-24</t>
  </si>
  <si>
    <t>100 usuarios &lt;1% error confirmado</t>
  </si>
  <si>
    <t>docs/performance/load_test_final.md</t>
  </si>
  <si>
    <t>CE-S9-004</t>
  </si>
  <si>
    <t>Cross-tenant Attack Tests Final</t>
  </si>
  <si>
    <t>Todos ataques bloqueados 0 data leaks</t>
  </si>
  <si>
    <t>Crítico</t>
  </si>
  <si>
    <t>tests/security/cross_tenant_final.py</t>
  </si>
  <si>
    <t>CE-S9-005</t>
  </si>
  <si>
    <t>Deploy Producción</t>
  </si>
  <si>
    <t>2026-02-25</t>
  </si>
  <si>
    <t>Backend Railway Frontend Vercel uptime &gt;99%</t>
  </si>
  <si>
    <t>CE-S9-006</t>
  </si>
  <si>
    <t>Expandir Golden Dataset 50 Proyectos</t>
  </si>
  <si>
    <t>50 proyectos anotados calibración final spec</t>
  </si>
  <si>
    <t>CE-S9-007</t>
  </si>
  <si>
    <t>Connection Pooling PostgreSQL</t>
  </si>
  <si>
    <t>SQLAlchemy pool límites 50 conexiones ok</t>
  </si>
  <si>
    <t>apps/api/src/core/database.py</t>
  </si>
  <si>
    <t>CE-S9-008</t>
  </si>
  <si>
    <t>Particionamiento audit_logs Script</t>
  </si>
  <si>
    <t>Script particionamiento fecha staging probado</t>
  </si>
  <si>
    <t>infrastructure/supabase/migrations/008_partitioning.sql</t>
  </si>
  <si>
    <t>CE-S10-001</t>
  </si>
  <si>
    <t>Onboard Piloto 1</t>
  </si>
  <si>
    <t>Semana 10</t>
  </si>
  <si>
    <t>2026-03-02</t>
  </si>
  <si>
    <t>2026-03-03</t>
  </si>
  <si>
    <t>Product</t>
  </si>
  <si>
    <t>Product Lead</t>
  </si>
  <si>
    <t>Empresa 1 onboarded datos reales feedback</t>
  </si>
  <si>
    <t>docs/pilots/pilot_1.md</t>
  </si>
  <si>
    <t>CE-S10-002</t>
  </si>
  <si>
    <t>Onboard Piloto 2</t>
  </si>
  <si>
    <t>Empresa 2 onboarded datos reales feedback</t>
  </si>
  <si>
    <t>docs/pilots/pilot_2.md</t>
  </si>
  <si>
    <t>CE-S10-003</t>
  </si>
  <si>
    <t>Onboard Piloto 3</t>
  </si>
  <si>
    <t>2026-03-04</t>
  </si>
  <si>
    <t>2026-03-05</t>
  </si>
  <si>
    <t>Empresa 3 onboarded datos reales feedback</t>
  </si>
  <si>
    <t>docs/pilots/pilot_3.md</t>
  </si>
  <si>
    <t>CE-S10-004</t>
  </si>
  <si>
    <t>Documentación Usuario Básica</t>
  </si>
  <si>
    <t>Tech Writer</t>
  </si>
  <si>
    <t>Guía usuario completa onboarding documentado</t>
  </si>
  <si>
    <t>docs/user_guide/</t>
  </si>
  <si>
    <t>CE-S10-005</t>
  </si>
  <si>
    <t>Documentación API</t>
  </si>
  <si>
    <t>Ejemplos uso API autenticación endpoints</t>
  </si>
  <si>
    <t>docs/api/</t>
  </si>
  <si>
    <t>CE-S10-006</t>
  </si>
  <si>
    <t>Recopilar Feedback Pilotos</t>
  </si>
  <si>
    <t>CE-S10-001;CE-S10-002;CE-S10-003</t>
  </si>
  <si>
    <t>Feedback 3-5 pilotos documentado issues</t>
  </si>
  <si>
    <t>docs/pilots/feedback_summary.md</t>
  </si>
  <si>
    <t>CE-S10-007</t>
  </si>
  <si>
    <t>Hotfixes Críticos Pilotos</t>
  </si>
  <si>
    <t>Issues críticos pilotos resueltos &lt;24h</t>
  </si>
  <si>
    <t>CE-S10-008</t>
  </si>
  <si>
    <t>NPS Survey Inicial</t>
  </si>
  <si>
    <t>Encuesta NPS pilotos target NPS &gt;30</t>
  </si>
  <si>
    <t>docs/pilots/nps_results.md</t>
  </si>
  <si>
    <t>Sprint 2 - 16 Tareas | 32.0 SP</t>
  </si>
  <si>
    <t>Semanas: Semana 2</t>
  </si>
  <si>
    <t>Sprint 3 - 27 Tareas | 72.0 SP</t>
  </si>
  <si>
    <t>Semanas: Semana 3, Semana 4</t>
  </si>
  <si>
    <t>Sprint 4 - 30 Tareas | 75.0 SP</t>
  </si>
  <si>
    <t>Semanas: Semana 5, Semana 6</t>
  </si>
  <si>
    <t>Sprint 5 - 27 Tareas | 52.0 SP</t>
  </si>
  <si>
    <t>Semanas: Semana 7, Semana 8</t>
  </si>
  <si>
    <t>Sprint 6 - 16 Tareas | 36.0 SP</t>
  </si>
  <si>
    <t>Semanas: Semana 9, Semana 10</t>
  </si>
  <si>
    <t>Mapa de Dependencias de Tareas</t>
  </si>
  <si>
    <t>Tarea</t>
  </si>
  <si>
    <t>Depende de</t>
  </si>
  <si>
    <t>Es prerrequisito de</t>
  </si>
  <si>
    <t>CE-S2-003, CE-S3-007, CE-S3-008, CE-S4-009, CE-S5-004</t>
  </si>
  <si>
    <t>-</t>
  </si>
  <si>
    <t>CE-S5-010, CE-S5-011, CE-S6-008</t>
  </si>
  <si>
    <t>CE-S2-006, CE-S3-006, CE-S5-013, CE-S6-014</t>
  </si>
  <si>
    <t>CE-S4-001, CE-S5-008</t>
  </si>
  <si>
    <t>CE-S5-006, CE-S5-007, CE-S7-004, CE-S7-007, CE-S7-008</t>
  </si>
  <si>
    <t>CE-S2-016, CE-S9-002, CE-S9-006</t>
  </si>
  <si>
    <t>CE-S3-004, CE-S3-005</t>
  </si>
  <si>
    <t>CE-S3-012, CE-S6-010, CE-S6-011</t>
  </si>
  <si>
    <t>CE-S6-009, CE-S6-015, CE-S7-006</t>
  </si>
  <si>
    <t>CE-S4-012, CE-S6-002</t>
  </si>
  <si>
    <t>CE-S4-002, CE-S4-003, CE-S5-001</t>
  </si>
  <si>
    <t>CE-S5-014, CE-S7-003</t>
  </si>
  <si>
    <t>CE-S4-006, CE-S7-015</t>
  </si>
  <si>
    <t>CE-S7-010, CE-S7-012</t>
  </si>
  <si>
    <t>CE-S10-001, CE-S10-002, CE-S10-003, CE-S10-004</t>
  </si>
  <si>
    <t>CE-S10-007, CE-S10-008</t>
  </si>
  <si>
    <t>Distribución de Tareas por Dominio</t>
  </si>
  <si>
    <t>Tareas P0</t>
  </si>
  <si>
    <t>% del Total</t>
  </si>
  <si>
    <t>26.6%</t>
  </si>
  <si>
    <t>21.0%</t>
  </si>
  <si>
    <t>10.9%</t>
  </si>
  <si>
    <t>10.5%</t>
  </si>
  <si>
    <t>6.7%</t>
  </si>
  <si>
    <t>5.6%</t>
  </si>
  <si>
    <t>4.9%</t>
  </si>
  <si>
    <t>4.5%</t>
  </si>
  <si>
    <t>3.4%</t>
  </si>
  <si>
    <t>1.9%</t>
  </si>
  <si>
    <t>1.5%</t>
  </si>
  <si>
    <t>0.7%</t>
  </si>
  <si>
    <t>Análisis de Riesgos por Tarea</t>
  </si>
  <si>
    <t>Tareas de Alto/Crítico Riesgo: 28</t>
  </si>
  <si>
    <t>Timeline de Ejecución por Semana</t>
  </si>
  <si>
    <t>Fecha Inicio</t>
  </si>
  <si>
    <t>Fecha Fin</t>
  </si>
  <si>
    <t>Hitos Clave</t>
  </si>
  <si>
    <t>Onboarding 3-5 Pilotos, Feedback</t>
  </si>
  <si>
    <t>Schemas Pydantic, Golden Dataset v1</t>
  </si>
  <si>
    <t>Parsers PDF/Excel/BC3, ClauseExtractor</t>
  </si>
  <si>
    <t>10 Reglas Coherencia, Coherence Score calibrado</t>
  </si>
  <si>
    <t>StakeholderExtractor, RACI Generator</t>
  </si>
  <si>
    <t>Dashboard, Evidence Viewer, Human-in-loop UI</t>
  </si>
  <si>
    <t>Cifrado R2, Export PDF, Optimización</t>
  </si>
  <si>
    <t>Tests E2E, Load Tests, Deploy Prod pipeline</t>
  </si>
  <si>
    <t>Security Final, Deploy Producción</t>
  </si>
  <si>
    <t>done</t>
  </si>
  <si>
    <t>gemini</t>
  </si>
  <si>
    <t>codex</t>
  </si>
  <si>
    <t>en curso</t>
  </si>
  <si>
    <t xml:space="preserve">del archivo C2PRO_CRONOGRAMA_MAESTRO_v1.0.CSV realiza el </t>
  </si>
  <si>
    <t>claude</t>
  </si>
  <si>
    <t>Avanzamos con la octava actividad del Sprint 2.
Esta tarea, aunque pequeña en Story Points (1 SP), tiene un impacto enorme en la Calidad (Quality Assurance) y la experiencia del desarrollador frontend (DX). Una API que devuelve errores inconsistentes (a veces un string, a veces un JSON plano, a veces el default de Pydantic) es una pesadilla para integrar. Necesitamos estandarizar esto antes de empezar con el Frontend.
📝 Actividad 8: CE-S2-009
Nombre: Error Handling Consistente API Dominio: Backend Story Points: 1 Dependencias: Ninguna
Aquí tienes el prompt optimizado para estandarizar las respuestas de error.
🚀 Prompt Optimizado
Contexto: Estamos puliendo el backend de C2Pro (FastAPI) para prepararlo para la integración con el frontend. Actualmente, los errores de validación de Pydantic y las excepciones HTTP devuelven estructuras diferentes, lo que dificulta que el cliente (Next.js) muestre mensajes claros al usuario. Necesitamos un Mecanismo Global de Manejo de Errores que intercepte todas las excepciones y devuelva siempre una estructura JSON predecible y uniforme.
Rol: Actúa como un API Designer meticuloso, preocupado por la experiencia del desarrollador (DX) y la observabilidad.
Tarea: Crear el módulo core/exceptions.py (para definiciones) y core/handlers.py (para lógica de intercepción) y proporcionar el código para registrarlos en la app principal de FastAPI.
Requisitos Técnicos:
Esquema de Error Unificado:
Todas las respuestas de error (4xx y 5xx) deben seguir este formato JSON:
JSON
{
  "status_code": 400,
  "error_code": "INVALID_INPUT",
  "message": "Descripción legible para humanos",
  "details": { ... }, // Opcional: detalle de campos fallidos
  "timestamp": "ISO-8601",
  "path": "/api/v1/..."
}
Manejo de Pydantic v2 (RequestValidationError):
Crítico: Sobrescribe el handler por defecto. Transforma la lista compleja de errores de Pydantic en un diccionario simple campo: error dentro de details, para que el frontend pueda marcar fácilmente los inputs en rojo.
Excepciones Personalizadas:
Define una clase base AppException y subclases comunes que usaremos en la lógica de negocio:
ResourceNotFoundException (404)
BusinessLogicException (400)
PermissionDeniedException (403)
QuotaExceededException (429) - Importante para el control de costes de IA.
Logging de Errores 500:
Cualquier excepción no manejada (Internal Server Error) debe ser capturada, logueada con su stack trace en el servidor (para Sentry/CloudWatch) y devolver al usuario solo un mensaje genérico ("Internal system error") con un código de referencia, nunca el stack trace real (por seguridad).
Entregable con:
Las clases de excepción personalizadas.
Las funciones async def para manejar HTTPException, RequestValidationError y Exception genérica.
Snippet mostrando cómo añadir app.add_exception_handler(...) en el archivo main.py.</t>
  </si>
  <si>
    <t>Avanzamos con la décima actividad del Sprint 2.
Esta tarea marca el inicio oficial del desarrollo Frontend. Es el momento de traducir la arquitectura técnica definida en el Roadmap  (Next.js 14 + Tailwind + shadcn/ui) en un repositorio funcional. Una buena estructura de carpetas inicial es crítica para evitar deuda técnica cuando el proyecto crezca a múltiples módulos (Proyectos, Evidencias, Alertas).
📝 Actividad 10: CE-S2-011
Nombre: Setup Next.js 14 + Tailwind + shadcn/ui Dominio: Frontend Story Points: 2 Dependencias: Ninguna (Implementación base)
Aquí tienes el prompt optimizado para inicializar el proyecto con una arquitectura sólida.
🚀 Prompt Optimizado
Contexto: Estamos iniciando el desarrollo del frontend de C2Pro, una plataforma SaaS Enterprise. Según el stack tecnológico definido en el Roadmap, utilizaremos Next.js 14 (App Router), React 18, Tailwind CSS y shadcn/ui como librería de componentes base. Necesitamos configurar el "scaffolding" del proyecto asegurando que soporte la arquitectura modular planteada (Dashboard, Projects, Evidence, Alerts, Stakeholders).
Rol: Actúa como un Senior Frontend Architect experto en el ecosistema de Vercel y React moderno. Valoras la organización estricta, el tipado fuerte (TypeScript) y la configuración limpia.
Tarea: Proporcionar una guía paso a paso y los scripts necesarios para inicializar el repositorio frontend.
Requisitos Técnicos:
Inicialización: Comandos para crear el proyecto Next.js 14 con TypeScript, ESLint y Tailwind CSS preconfigurado.
Integración shadcn/ui:
Instrucciones para inicializar shadcn-ui.
Configuración del components.json para usar alias de rutas (@/components, @/lib, @/utils).
Comando para instalar los componentes base que usaremos en los wireframes: button, card, sheet, table, badge, dialog, input, select, tabs.
Arquitectura de Carpetas (App Router):
Diseña una estructura de carpetas dentro de app/ que refleje los módulos del negocio:
(dashboard): Layout con sidebar persistente.
projects/: Listado y creación.
projects/[id]/: Layout específico del proyecto.
projects/[id]/evidence: Visor de documentos.
projects/[id]/analysis: Centro de alertas.
Define dónde alojar los servicios de API (lib/api), los tipos globales (types/) y los hooks personalizados.
Fuentes y Estilos:
Configura la fuente Inter (estándar enterprise) vía next/font/google.
Configura el archivo globals.css para definir las variables CSS de colores semánticos (root colors) alineados a un tema "Enterprise Clean" (Slate/Blue).
Entregable:
Bloque de código bash con la secuencia de instalación completa.
Árbol de directorios (tree) propuesto explicada brevemente.
Configuración base de tailwind.config.ts.</t>
  </si>
  <si>
    <t>promt</t>
  </si>
  <si>
    <t>Actividad 13 (Refinamiento): Script Generador de Datos Sintéticos
Nombre: Generator Script for Golden Dataset Dominio: Testing / AI Engineering Story Points: (Parte de los 3 SP originales) Dependencias: CE-S2-007 (Anthropic Wrapper) - Opcional, puede usar script standalone.
🚀 Prompt Optimizado
Contexto: Estamos en la fase de Testing de C2Pro. Necesitamos poblar nuestro Golden Dataset v1.0 con 10 proyectos sintéticos para validar la precisión de la IA. Ya tenemos el esquema JSON deseado. Ahora, necesitamos una herramienta automatizada que utilice un LLM (Claude o GPT-4) para "imaginar" y generar estos proyectos variando sus parámetros automáticamente, ahorrándonos horas de trabajo manual.
Rol: Actúa como un AI Tools Engineer experto en generación de datos sintéticos y validación con Pydantic.
Tarea: Crear un script de Python llamado scripts/generate_golden_dataset.py.
Funcionalidad del Script:
Configuración de Escenarios: Define una lista de configuraciones para generar los 9 proyectos restantes (ya tenemos el 001). Deben variar en:
type: [Obra Civil, Industrial, Edificación].
complexity: [Simple, Medium, Complex].
language: [ES, EN] (Mayoría ES según roadmap).
incoherence_type: [None, DateMismatch, BudgetOverrun, MissingStakeholder].
Generación con LLM:
Utiliza una función generate_project(scenario) que construya un prompt dinámico.
Prompt del Sistema: "Eres un Director de Proyectos experto creando casos de prueba para auditar un software. Debes generar datos realistas pero ficticios que contengan errores sutiles específicos."
Prompt de Usuario: "Genera un proyecto JSON de tipo {type}, complejidad {complexity} en {language}. Debe contener una incoherencia de tipo {incoherence_type}."
Validación:
Utiliza los modelos Pydantic definidos en schemas/ (si están disponibles) o define modelos inline para validar que el JSON generado tiene la estructura correcta (input_documents + expected_output) antes de guardarlo.
Persistencia:
Guarda cada resultado exitoso en tests/golden/project_{00X}_{type}.json.
Requisitos Técnicos:
Usa asyncio para generar los proyectos en paralelo (opcional, pero recomendado).
Incluye manejo de reintentos (retries) si el LLM devuelve un JSON malformado.
Importante: El script debe ser ejecutable desde la línea de comandos (python -m scripts.generate_golden_dataset).
Entregable: Código Python completo del script, incluyendo la definición de los escenarios de prueba hardcodeados en una constante TEST_SCENARIOS.</t>
  </si>
  <si>
    <t>vanzamos con la decimocuarta actividad del Sprint 2 (ID CE-S2-016).
Esta tarea es el "juez" imparcial del sistema. Ahora que tenemos los datos de prueba (Golden Dataset), necesitamos un script automatizado que ejecute la IA, compare sus respuestas contra la verdad absoluta y nos diga si hemos roto algo (regresión) o si la IA se ha vuelto "tonta" (model drift). Esto es vital para cumplir con la meta de Accuracy &gt; 85% definida en el Roadmap.
📝 Actividad 14: CE-S2-016
Nombre: Tests Regresión Accuracy CI Dominio: Testing Story Points: 2 Dependencias: CE-S2-015 (Golden Dataset)
Aquí tienes el prompt optimizado para crear el motor de evaluación.
🚀 Prompt Optimizado
Contexto: Hemos generado el Golden Dataset v1.0 para C2Pro. Ahora necesitamos implementar el Pipeline de Evaluación de Precisión (Accuracy Testing). Este no es un test unitario estándar; es un benchmark que ejecuta los agentes de IA reales contra los proyectos sintéticos y compara los resultados. Según el Roadmap (Sección 13.1 y 17.2), nuestro objetivo de aceptación es un Accuracy &gt; 85%. Si la precisión cae por debajo de este umbral en un Pull Request que modifique los prompts, el CI debe fallar.
Rol: Actúa como un QA Automation Engineer especializado en evaluación de LLMs (LLM Ops).
Tarea: Crear el módulo de test tests/accuracy/test_regression.py y las utilidades de comparación en tests/utils/scorers.py.
Requisitos Técnicos:
Configuración de Pytest:
Marca estos tests con un decorador @pytest.mark.ai_accuracy para poder ejecutarlos separadamente de los tests unitarios rápidos (ya que estos consumen tokens/dinero).
Utiliza pytest-asyncio.
Lógica de Carga:
Iterar sobre todos los archivos .json en tests/golden/.
Para cada proyecto, inyectar el contract_text en el pipeline de extracción real (ExtractionService).
Lógica de Comparación (Scoring Fuzzy):
Los LLMs no devuelven texto idéntico carácter a carácter. Implementa comparadores flexibles en scorers.py:
Strings (Nombres): Usa Distancia de Levenshtein o thefuzz (ratio &gt; 85).
Fechas: Permite variaciones de formato (ISO vs texto) pero la fecha real debe ser exacta.
Montos: Permite una tolerancia pequeña (epsilon 0.01).
Listas (Cláusulas/Stakeholders): Calcula Precision y Recall (F1 Score) para verificar que se encontraron los elementos correctos sin inventar extras.
Reporting y Aserciones:
Calcula un score promedio por proyecto y un score global.
Gate de Calidad: assert global_accuracy &gt;= 0.85, con un mensaje de error detallado mostrando qué proyectos bajaron el promedio.
Genera un reporte simple (print a consola o archivo MD) con las discrepancias (ej. "Esperado: 'Juan Pérez', Recibido: 'Juan P.', Score: 0.9").
Entregable: Código Python para scorers.py (funciones de comparación) y el esqueleto del test principal test_regression.py.</t>
  </si>
  <si>
    <t>Llegamos a la decimosexta y última actividad del Sprint 2.
Esta tarea es el cierre perfecto para la fase de "Foundation". Ahora que tenemos el backend, la caché, el cliente de IA y el CI/CD, debemos medir "qué tan rápido corre el coche" antes de empezar a añadirle peso en el Sprint 3. Establecer esta línea base (baseline) es crucial para detectar si futuras funcionalidades degradan el rendimiento, alineándonos con el riesgo de "Latencia &gt; 5min" identificado en el roadmap.
📝 Actividad 16: CE-S2-014
Nombre: Benchmark Baseline Endpoints Dominio: Performance Story Points: 1 Dependencias: Ninguna (Se ejecuta sobre lo construido)
Aquí tienes el prompt optimizado para crear la suite de pruebas de carga.
🚀 Prompt Optimizado
Contexto: Estamos cerrando el Sprint 2 de C2Pro. Hemos construido el núcleo del backend (FastAPI) y la infraestructura de caché (Redis). Antes de avanzar, necesitamos establecer un Benchmark de Rendimiento (Baseline). Según los criterios de aceptación de la Fase 1 del Roadmap, nuestro objetivo final es soportar 100 usuarios concurrentes con &lt;1% de tasa de error. Aunque el sistema aún no está completo, debemos validar que los endpoints base (Auth, Projects) responden adecuadamente bajo carga ligera y media.
Rol: Actúa como un QA Performance Engineer experto en Python y pruebas de carga distribuidas. Tu herramienta preferida es Locust.
Tarea: Crear el archivo de configuración de pruebas de carga tests/performance/locustfile.py.
Escenario de Prueba (User Journey): Debes simular el comportamiento de un "Project Manager" estándar:
Login: POST /api/auth/login (Obtener JWT).
Dashboard Load: GET /api/projects (Listar proyectos del tenant).
Project Detail: GET /api/projects/{uuid} (Ver detalle de un proyecto específico - usa un ID fijo o dinámico si puedes extraerlo del paso anterior).
Create Project: POST /api/projects (Crear un proyecto ligero - peso bajo, ocurrencia baja).
Requisitos Técnicos:
Clase HttpUser:
Implementa wait_time aleatorio entre 1 y 5 segundos (comportamiento humano).
Maneja la autenticación: El token JWT recibido en on_start debe inyectarse en los headers de todas las peticiones subsiguientes (Authorization: Bearer ...).
Load Shape (Forma de Carga):
Implementa una clase LoadTestShape personalizada para simular un "Ramp Up":
Fase 1 (Warm up): 10 usuarios durante 1 minuto.
Fase 2 (Load): Subir a 50 usuarios durante 3 minutos.
Fase 3 (Stress - Target Roadmap): Subir a 100 usuarios durante 1 minuto para probar el límite.
Validaciones (Aserciones):
Marca la petición como fallida (request.failure) si:
El código HTTP no es 200/201.
La latencia es &gt; 2000ms (2 segundos).
Entregable: Código Python completo del archivo locustfile.py, listo para ejecutarse con el comando locust.</t>
  </si>
  <si>
    <t>novena actividad del Sprint 2.
Esta actividad marca el cambio del Backend al Frontend/Diseño. Antes de escribir código React, necesitamos definir visualmente cómo será la interfaz, asegurando que cumplimos con la Gate 6 (Human-in-the-loop). Las vistas deben mostrar claramente las alertas de riesgo y obligar a la validación humana donde sea necesario.
📝 Actividad 9: CE-S2-010
Nombre: Wireframes 6 Vistas Core Dominio: UX/UI Story Points: 2 Dependencias: Ninguna (Input para CE-S2-011)
Aquí tienes el prompt optimizado. Este prompt está diseñado para que una IA (como ChatGPT o Claude) genere las especificaciones funcionales y de diseño (UI Specs) detalladas que un desarrollador o diseñador necesita para montar las pantallas en Figma o programarlas directamente (puedes usar este output luego en herramientas como v0.dev).
🚀 Prompt Optimizado
Contexto: Estamos diseñando la interfaz de usuario de C2Pro, una plataforma SaaS B2B para gestión de contratos EPC. El diseño debe ser "Enterprise Clean": denso en datos pero escaneable, minimalista y profesional. El stack de implementación será Next.js 14 + Tailwind CSS + shadcn/ui. Debemos cumplir estrictamente con el requisito de seguridad "Human-in-the-loop": las acciones críticas (aprobar un BOM, ignorar una alerta legal) deben tener controles de validación explícitos.
Rol: Actúa como un Lead Product Designer especializado en sistemas de diseño complejos (ERP, CRM) y accesibilidad (WCAG 2.1).
Tarea: Generar las Especificaciones de Wireframe (Layout Specs) para las 6 Vistas Core del MVP. Para cada vista, describe la distribución (layout), los componentes de shadcn/ui a utilizar y el comportamiento de interacción.
Listado de Vistas a Diseñar (Basado en Roadmap §4.1 y §8.2):
Project Dashboard: Vista resumen con el Coherence Score (Gauge chart 0-100), KPIs clave (Alertas abiertas, Presupuesto vs Contrato) y lista de actividad reciente.
Evidence Viewer (CRÍTICA): Una vista de pantalla dividida (Split View). A la izquierda el documento PDF original (con resaltado de texto) y a la derecha los datos extraídos o alertas vinculadas. Debe mostrar claramente la trazabilidad.
Alerts Center: Tabla con filtros de severidad (Critical, High...). Debe incluir acciones rápidas, pero las alertas críticas deben requerir abrir detalle para resolver.
Stakeholder Map: Visualización de cuadrantes (Matriz Poder/Interés) interactiva.
RACI Matrix Viewer: Tabla densa (Datagrid) con stakeholders en columnas y WBS items en filas. Celdas editables con dropdown (R,A,C,I).
Project List: Tabla maestra de proyectos con columnas para estado, score y tenant.
Requisitos de Diseño (Guidelines):
Componentes: Usa terminología shadcn/ui (ej. Card, Sheet para detalles laterales, DataTable para listas, Badge para estados, Dialog para confirmaciones).
Human-in-the-loop (Gate 6): Especifica explícitamente dónde van los botones "Aprobar/Rechazar" y los modales de confirmación obligatorios para elementos con confidence &lt; 90% o severity = critical.
Layout: Prioriza layouts fluidos con Sidebar de navegación a la izquierda (collapsible).
Paleta: Estilo monocromático profesional con uso semántico del color (Rojo=Riesgo/Alerta, Ámbar=Advertencia, Verde=Validado).
documento estructurado en Markdown, vista por vista, con:
Estructura del Layout: (Header, Sidebar, Main Content, Panels).
Componentes Clave: Lista de componentes UI necesarios.
Interacciones Críticas: Descripción del flujo de validación humana.</t>
  </si>
  <si>
    <t>Avanzamos con la octava actividad del Sprint 2.
Esta tarea, aunque pequeña en Story Points (1 SP), tiene un impacto enorme en la Calidad (Quality Assurance) y la experiencia del desarrollador frontend (DX). Una API que devuelve errores inconsistentes (a veces un string, a veces un JSON plano, a veces el default de Pydantic) es una pesadilla para integrar. Necesitamos estandarizar esto antes de empezar con el Frontend.
📝 Actividad 8: CE-S2-009
Nombre: Error Handling Consistente API Dominio: Backend Story Points: 1 Dependencias: Ninguna
Aquí tienes el prompt optimizado para estandarizar las respuestas de error.
🚀 Prompt Optimizado
Contexto: Estamos puliendo el backend de C2Pro (FastAPI) para prepararlo para la integración con el frontend. Actualmente, los errores de validación de Pydantic y las excepciones HTTP devuelven estructuras diferentes, lo que dificulta que el cliente (Next.js) muestre mensajes claros al usuario. Necesitamos un Mecanismo Global de Manejo de Errores que intercepte todas las excepciones y devuelva siempre una estructura JSON predecible y uniforme.
Rol: Actúa como un API Designer meticuloso, preocupado por la experiencia del desarrollador (DX) y la observabilidad.
Tarea: Crear el módulo core/exceptions.py (para definiciones) y core/handlers.py (para lógica de intercepción) y proporcionar el código para registrarlos en la app principal de FastAPI.
Requisitos Técnicos:
Esquema de Error Unificado:
Todas las respuestas de error (4xx y 5xx) deben seguir este formato JSON:
JSON
{
  "status_code": 400,
  "error_code": "INVALID_INPUT",
  "message": "Descripción legible para humanos",
  "details": { ... }, // Opcional: detalle de campos fallidos
  "timestamp": "ISO-8601",
  "path": "/api/v1/..."
}
Manejo de Pydantic v2 (RequestValidationError):
Crítico: Sobrescribe el handler por defecto. Transforma la lista compleja de errores de Pydantic en un diccionario simple campo: error dentro de details, para que el frontend pueda marcar fácilmente los inputs en rojo.
Excepciones Personalizadas:
Define una clase base AppException y subclases comunes que usaremos en la lógica de negocio:
ResourceNotFoundException (404)
BusinessLogicException (400)
PermissionDeniedException (403)
QuotaExceededException (429) - Importante para el control de costes de IA.
Logging de Errores 500:
Cualquier excepción no manejada (Internal Server Error) debe ser capturada, logueada con su stack trace en el servidor (para Sentry/CloudWatch) y devolver al usuario solo un mensaje genérico ("Internal system error") con un código de referencia, nunca el stack trace real (por seguridad).
Las clases de excepción personalizadas.
Las funciones async def para manejar HTTPException, RequestValidationError y Exception genérica.
Snippet mostrando cómo añadir app.add_exception_handler(...) en el archivo main.py.</t>
  </si>
  <si>
    <t>Actividad 15 (Refinada): CE-S2-006 - Implementación de Semantic Cache
Nombre: Implementar Semantic Cache Strategy Dominio: AI / Backend / Vector Search Story Points: 3 (Aumenta de 2 a 3 por la complejidad vectorial) Dependencias: CE-S2-004 (Redis), CE-S2-007 (Client Wrapper)
🚀 Prompt Optimizado
Contexto: Estamos optimizando el backend de C2Pro. Hemos decidido ir más allá del caché exacto (hash) e implementar Caché Semántico. Esto significa que si una consulta entrante es semánticamente equivalente (similarity &gt; 0.95) a una respondida anteriormente, devolveremos la respuesta guardada. Utilizaremos Redis (Upstash) como nuestra base de datos vectorial para el caché, aprovechando su velocidad en lectura. Para generar los vectores (embeddings), usaremos una librería local ligera (sentence-transformers) para evitar latencia de red adicional y costes de APIs de terceros solo para el caché.
Rol: Actúa como un Vector Search Engineer experto en RAG y optimización de latencia. Entiendes los riesgos de los "falsos positivos" en caché semántico.
Tarea: Crear el módulo services/ai/semantic_cache.py y actualizar el AnthropicWrapper.
Requisitos Técnicos:
Generación de Embeddings (Local):
Utiliza la librería sentence-transformers (HuggingFace) con el modelo all-MiniLM-L6-v2. Es rápido, pequeño y suficiente para similitud de frases.
Implementa una función asíncrona (ejecutada en threadpool para no bloquear el loop) get_embedding(text: str) -&gt; List[float].
Almacenamiento Vectorial (Redis):
Configura el índice de Redis para búsqueda vectorial (KNN).
Define el esquema de metadatos a guardar: original_prompt, response_json, model_used, timestamp.
Lógica de Búsqueda (Search Strategy):
Threshold Crítico: Define un umbral de similitud de Coseno de 0.95. Menos de esto es arriesgado en un contexto legal/contractual.
Flujo:
Recibir Prompt.
Calcular Embedding.
Consultar Redis Vector Search (FT.SEARCH) buscando los K=1 vecinos más cercanos.
Si score &gt;= 0.95: CACHE HIT. Devolver JSON almacenado.
Si score &lt; 0.95: CACHE MISS. Llamar a Anthropic -&gt; Guardar nuevo Embedding + Respuesta en Redis.
Seguridad (Tenant Isolation):
IMPORTANTE: El caché semántico debe respetar el aislamiento. Un usuario del Tenant A nunca debe recibir una respuesta cacheada generada por el Tenant B, aunque la pregunta sea idéntica.
Incluye tenant_id como un filtro obligatorio en la query de búsqueda vectorial.
Entregable: Código Python que incluye:
Clase EmbeddingService (wrapper de sentence-transformers).
Clase SemanticCache (lógica de Redis Vector).
Snippet de integración en AnthropicWrapper.</t>
  </si>
  <si>
    <t>Actividad: S0.2 / S0.3 (Sprint 0)
Nombre: Supabase DB Setup &amp; RLS Configuration Dominio: Backend / Database Story Points: 3 Referencia: Roadmap Sección 5 (Modelo de Datos) y 7.1 (CTO Gates).
🚀 Prompt Optimizado
Contexto: Estamos inicializando la base de datos para C2Pro usando Supabase (PostgreSQL 15+). El sistema es un SaaS B2B Multi-tenant estricto. Según el Roadmap v2.4.0, la seguridad y el aislamiento de datos son la prioridad número uno ("Security First"). Debemos implementar el esquema inicial para las tablas Core (tenants, users, projects, documents) aplicando Row Level Security (RLS) desde el primer momento. Un requisito crítico de la versión 2.4.0 es corregir la identidad: un mismo email puede existir en múltiples tenants, por lo que la unicidad debe ser compuesta.
Rol: Actúa como un Senior Database Architect experto en PostgreSQL y seguridad en Supabase.
Tarea: Generar el script SQL de migración inicial (001_init_schema.sql).
Requisitos Técnicos (Estrictos):
Extensiones:
Habilita pgcrypto (para UUIDs) y vector (para futuros embeddings).
Tablas Core (DDL):
tenants: ID UUID, nombre, settings JSONB.
users:
Debe sincronizarse con auth.users de Supabase (necesitarás un Trigger, ver punto 4).
CRÍTICO (Gate 2): Constraint UNIQUE(tenant_id, email) (NO email único global).
Campos: tenant_id (FK), role, first_name.
projects: tenant_id (FK), name, status.
documents: project_id (FK), storage_url, is_encrypted.
Seguridad RLS (Gate 1):
Habilita RLS en TODAS las tablas (ALTER TABLE ... ENABLE ROW LEVEL SECURITY).
Políticas:
Define una política genérica de aislamiento basada en el JWT de Supabase.
Lógica: tenant_id = (auth.jwt() -&gt;&gt; 'tenant_id')::uuid.
Para tablas hijas (como documents), la política debe hacer un JOIN o subquery segura contra projects para verificar el tenant_id del padre.
Sincronización Auth (Pattern Supabase):
Crea una función public.handle_new_user() y un Trigger que inserte automáticamente en la tabla public.users cuando se cree un usuario en auth.users.
Nota: Asume que el tenant_id viene en los raw_user_meta_data al registrarse.
Índices:
Crea índices en todas las columnas tenant_id y project_id para rendimiento de RLS.</t>
  </si>
  <si>
    <t>Escribir el código SQL no es suficiente; debemos demostrar que funciona. Según la Gate 1 del CTO Checklist, no se puede avanzar sin verificar que el aislamiento multi-tenant es real. Si te saltas este paso, corres el riesgo de una fuga de datos catastrófica (Data Leak) donde el Cliente A ve los proyectos del Cliente B.
Utilizaremos pgTAP, el estándar para pruebas unitarias en PostgreSQL, simulando usuarios con diferentes JWTs.
📝 Actividad: S0.3-Test (Sprint 0)
Nombre: RLS &amp; Security Verification Suite Dominio: Database / Security / QA Story Points: 2 Prerrequisitos: 001_init_schema.sql (Actividad anterior).
Referencia: CTO Gates 1 y 2.
Aquí tienes el prompt optimizado para generar esta batería de pruebas crítica.
🚀 Prompt Optimizado
Contexto: Acabamos de desplegar el esquema inicial de C2Pro en Supabase con políticas RLS activas. Antes de conectar el backend, debemos cumplir con la Gate 1 (Isolation) y Gate 2 (Identity) del Roadmap. Necesitamos un script de pruebas automatizado usando pgTAP que simule un entorno hostil: usuarios intentando leer datos que no les pertenecen e insertando duplicados. Dado que Supabase usa la función auth.uid() y auth.jwt() para las políticas, el test debe ser capaz de "burlar" o simular estas variables de sesión para actuar como diferentes usuarios.
Rol: Actúa como un Security QA Engineer experto en PostgreSQL y pgTAP.
Tarea: Crear el script de prueba tests/db/01_tenant_isolation.sql.
Escenarios de Prueba a Cubrir:
Setup del Test Environment:
Habilitar extensión pgtap.
Crear datos semilla:
Tenant A (con User Alice).
Tenant B (con User Bob).
Project A1 (pertenece a Tenant A).
Project B1 (pertenece a Tenant B).
Test 1: Aislamiento de Lectura (Gate 1):
Simular sesión como Alice (Tenant A).
Ejecutar SELECT * FROM projects.
Assert: Debe retornar SOLO el Project A1. Si ve Project B1, el test debe fallar estrepitosamente.
Test 2: Aislamiento de Escritura:
Simular sesión como Bob (Tenant B).
Intentar hacer UPDATE sobre el Project A1 (usando su ID).
Assert: El resultado debe ser "0 rows affected" (o error de permiso), confirmando que no puede tocar datos ajenos.
Test 3: Identidad Enterprise (Gate 2):
Intentar insertar un usuario con email admin@empresa.com en Tenant A. (Debe funcionar).
Intentar insertar otro usuario con email admin@empresa.com en Tenant B. (Debe funcionar - Soporte B2B).
Intentar insertar OTRA VEZ admin@empresa.com en Tenant A. (Debe fallar por Unique Constraint).
Requisitos Técnicos:
Utiliza funciones de pgtap como plan(), is(), throws_ok(), results_eq().
Incluye una función auxiliar (mock) para setear el contexto de auth.jwt() -&gt; 'tenant_id' localmente para la transacción, ya que no estamos pasando por la API HTTP real.
Código SQL ejecutable (pgprove) que valida las reglas de negocio.</t>
  </si>
  <si>
    <t>Actividad: S1.5 (Sprint 1)
Nombre: Anonymizer Service Implementation (GDPR/PII) Dominio: Security / AI Pipeline Story Points: 5 Dependencias: Ninguna (Componente Standalone), pero consumido por AnthropicWrapper. Librerías Clave: presidio-analyzer, presidio-anonymizer, spacy (modelo es_core_news_md o lg).
🚀 Prompt Optimizado
Contexto: Estamos construyendo el pipeline de privacidad para C2Pro. Nuestros clientes suben contratos con nombres reales, teléfonos, emails y cuentas bancarias. Según la política "Security First" y GDPR, no debemos enviar estos datos crudos a la API de Anthropic si no es estrictamente necesario. Necesitamos un servicio que detecte entidades PII y las reemplace por placeholders reversibles. El reto es mantener la consistencia contextual: Si "Juan Pérez" aparece 10 veces en el contrato, debe ser reemplazado siempre por el mismo alias (ej. &lt;PERSON_1&gt;) para que la IA entienda que es el mismo actor.
Rol: Actúa como un DevSecOps Engineer especializado en NLP y privacidad de datos.
Tarea: Crear el servicio services/privacy/anonymizer.py.
Requisitos Técnicos:
Motor de Análisis (Microsoft Presidio):
Configura AnalyzerEngine usando spacy con el modelo en español (es_core_news_lg para mayor precisión).
Entidades a Detectar: PERSON, EMAIL_ADDRESS, PHONE_NUMBER, IBAN_CODE (si existe reconocedor, si no, regex custom), NIF/DNI (Regex custom para España).
Entidades a IGNORAR: DATE_TIME, MONEY, ORGANIZATION. Crítico: La IA necesita saber las fechas y montos para calcular la coherencia, y los nombres de empresas (Personas Jurídicas) suelen ser públicos y necesarios para el contexto. Solo anonimizamos personas físicas.
Lógica de Anonimización (Reemplazo):
Utiliza AnonymizerEngine.
Implementa una estrategia de "Deanonymization Mapping":
El servicio debe devolver dos cosas:
anonymized_text: "El contrato firmado por &lt;PERSON_1&gt;..."
mapping: {"&lt;PERSON_1&gt;": "Juan Pérez", "&lt;EMAIL_1&gt;": "juan@empresa.com"}.
Esto permitirá que, cuando la IA responda "El responsable es &lt;PERSON_1&gt;", el frontend pueda mostrar al usuario el nombre real.
Performance (Singleton):
Cargar el modelo de Spacy (500MB+) en cada petición matará el servidor. Implementa el patrón Singleton para cargar el AnalyzerEngine una sola vez al inicio de la aplicación.
Interface del Servicio:
Método: anonymize_document(text: str) -&gt; AnonymizedResult.
Método: deanonymize_response(text: str, mapping: dict) -&gt; str (para restaurar la respuesta de la IA).
Código Python completo de la clase PiiAnonymizerService. Incluye la configuración de un "Custom Recognizer" simple para DNI/NIE español como ejemplo.</t>
  </si>
  <si>
    <t>Continuamos con la undécima actividad del Sprint 2.
Esta tarea es crítica para automatizar la calidad y seguridad del proyecto. Según los principios de desarrollo del Roadmap ("Quality Gates" y "Security First" ), no podemos permitir que entre código a main sin pasar una batería de pruebas automatizadas, especialmente las validaciones de seguridad multi-tenant (Gate 1).
📝 Actividad 11: CE-S2-012
Nombre: GitHub Actions CI Completo Dominio: DevOps Story Points: 2 Dependencias: Ninguna (Configuración base)
Aquí tienes el prompt optimizado para establecer la tubería de Integración Continua (CI).
🚀 Prompt Optimizado
Contexto: Estamos configurando el pipeline de CI/CD para C2Pro en GitHub Actions. El proyecto es un monorepo que contiene:
Backend: FastAPI (Python 3.11+) en apps/api/.
Frontend: Next.js 14 (Node 20+) en apps/web/.
Necesitamos un flujo de trabajo (workflow) estricto que se ejecute en cada Pull Request hacia la rama main. Este pipeline es la primera línea de defensa para cumplir con las CTO Gates definidas en el Roadmap, asegurando que ningún código rompa el aislamiento entre inquilinos (tenants) o introduzca vulnerabilidades.
Rol: Actúa como un DevOps Engineer especializado en GitHub Actions y seguridad de software (DevSecOps).
Tarea: Crear el archivo de configuración .github/workflows/ci.yml.
Requisitos del Workflow:
Triggers: Ejecutar en push a main y pull_request a main.
Jobs Paralelos:
Backend Job:
Configurar Python 3.11.
Instalar dependencias (asume requirements.txt o poetry).
Linting: Ejecutar ruff o black para calidad de código.
Security Audit: Ejecutar bandit para buscar vulnerabilidades en Python.
Testing (CRÍTICO): Ejecutar pytest. Especifica que deben correrse los tests de aislamiento definidos en el plan de testing (tests/security/test_tenant_isolation.py ), ya que esto valida la Gate 1.
Frontend Job:
Configurar Node.js 20.
Instalar dependencias (npm ci).
Linting: Ejecutar npm run lint.
Build Test: Ejecutar npm run build para asegurar que el proyecto compila sin errores de tipos.
Optimización: Utiliza actions/cache para dependencias de Python y Node para acelerar la ejecución.
Política de Fallo: Si falla cualquier paso (especialmente los tests de seguridad RLS), el pipeline debe fallar y bloquear el Merge.
Entregable:  YAML completo y comentado del archivo ci.yml.</t>
  </si>
  <si>
    <t>Avanzamos con la duodécima actividad del Sprint 2.
Esta tarea completa el ciclo de automatización. Una vez que el código ha pasado las pruebas de seguridad y calidad (CI), debe desplegarse automáticamente en el entorno de Staging para que el equipo de producto y los pilotos puedan probarlo. Esto agiliza el ciclo de feedback ("Ship Fast, Learn Faster" ).
📝 Actividad 12: CE-S2-013
Nombre: Auto-deploy Staging on Merge Main Dominio: DevOps Story Points: 1 Dependencias: CE-S2-012 (GitHub Actions CI)
Aquí tienes el prompt optimizado para configurar el Despliegue Continuo (CD).
🚀 Prompt Optimizado
Contexto: Hemos configurado la Integración Continua (CI) para C2Pro. Ahora necesitamos habilitar el Despliegue Continuo (CD) al entorno de Staging. Según el Plan de Deployment del Roadmap, cualquier commit que se fusione (merge) a la rama main y pase los tests debe desplegarse automáticamente.
Infraestructura de Destino (según Roadmap ):
Backend: Se despliega en Railway.
Frontend: Se despliega en Vercel.
Base de Datos: Las migraciones de Supabase deben aplicarse automáticamente en staging.
Rol: Actúa como un Cloud DevOps Engineer experto en automatización de flujos de trabajo con GitHub Actions y gestión de secretos.
Tarea: Extender el archivo .github/workflows/ci.yml (o crear un nuevo archivo cd_staging.yml) para incluir los trabajos de despliegue.
Requisitos del Workflow:
Condición de Ejecución:
Solo debe ejecutarse en la rama main.
CRÍTICO: Debe tener una dependencia explícita (needs: [test-backend, test-frontend]) para asegurar que NUNCA se despliegue código roto o inseguro.
Job de Backend (Railway):
Utiliza la acción oficial de Railway CLI o railway up.
Debe inyectar la variable RAILWAY_TOKEN desde los GitHub Secrets.
Incluye un paso para aplicar migraciones de base de datos (Supabase) si es necesario, o confirma si Railway lo maneja en el comando de start.
Job de Frontend (Vercel):
Utiliza la acción oficial de Vercel (amondnet/vercel-action o similar recomendada).
Debe desplegar en modo "producción" (para el entorno de staging vinculado) usando vercel --prod (o el flag adecuado para el target de staging configurado en Vercel).
Requiere VERCEL_TOKEN, VERCEL_ORG_ID y VERCEL_PROJECT_ID.
Notificaciones (Opcional pero recomendado):
Si el despliegue falla, debe quedar claramente reflejado en el historial de Actions.
Entregable:  YAML correspondiente a los "Jobs de Deploy" y ser añadidos al final del archivo de CI existente.</t>
  </si>
  <si>
    <t>Continuamos con la decimotercera actividad del Sprint 2.
Esta tarea es fundamental para la Gate 5 (Coherence Score) y la Gate 6 (AI Accuracy). No podemos mejorar ni confiar en la IA si no tenemos una "verdad absoluta" contra la cual medirla. Necesitamos un conjunto de datos estandarizado y anotado manualmente (o sintéticamente perfecto) para ejecutar tests de regresión.
📝 Actividad 13: CE-S2-015
Nombre: Golden Dataset v1.0 (10 proyectos) Dominio: Testing / Data Science Story Points: 3 Dependencias: Ninguna (pero es prerrequisito para CE-S2-016)
Aquí tienes el prompt optimizado para generar la estructura y el primer caso de prueba de este dataset.
🚀 Prompt Optimizado
Contexto: Estamos desarrollando C2Pro, una plataforma de IA para el sector de la construcción (EPC). Para validar la precisión de nuestros agentes de IA (extracción de cláusulas, detección de stakeholders, cálculo de riesgos), necesitamos crear un Golden Dataset v1.0. Según el Roadmap (Anexo 17.2), este dataset servirá como la "verdad terreno" (Ground Truth) para los tests de regresión. El objetivo es tener 10 proyectos sintéticos variados, pero comenzaremos definiendo el esquema exacto y generando el primer ejemplo completo ("Project Alpha").
Rol: Actúa como un Lead Data Scientist especializado en NLP y evaluación de LLMs. Tu foco es la calidad del dato y la estructura rigurosa.
Tarea:
Definir el JSON Schema estricto para un proyecto del Golden Dataset.
Generar UN ejemplo completo (Project 001 - "Planta Fotovoltaica Solar Alpha") que cumpla con ese esquema.
Requisitos del Esquema (JSON Structure): El JSON debe contener dos secciones principales: input_documents (lo que ve la IA) y expected_output (la verdad absoluta).
Metadata del Proyecto: ID, tipo (Industrial), complejidad (Medium), idioma (ES).
Input (Simulado):
contract_text: Un extracto de texto contractual (aprox. 3-4 párrafos) que contenga deliberadamente:
Una fecha límite explícita.
Una penalización por retraso.
Menciones a 2 stakeholders (ej. "Contratista Principal", "Supervisor de Obra").
Expected Annotations (Ground Truth):
clauses: Lista de cláusulas esperadas con su clause_code, type (penalty, deadine) y el texto exacto.
stakeholders: Lista de objetos con name, role, quadrant esperado.
coherence_alerts: CRÍTICO. Define al menos una incoherencia esperada (ej. la fecha en el texto dice "30 de Junio" pero definimos un cronograma simulado que termina en "Agosto").
Formato: rule_id (ej. R1), severity (critical).
Instrucciones para el Ejemplo Sintético (Project 001):
Crea un escenario realista de EPC Industrial.
Introduce una contradicción sutil: El contrato dice "Penalización del 5% si no se entrega antes del 1 de Julio", pero el presupuesto asociado (simulado en el JSON) no contempla esa partida de riesgo o el cronograma termina el 15 de Julio.
Salida: JSON válido,  guardado como tests/golden/project_001.json.</t>
  </si>
  <si>
    <t>Actividad 1 (Refinada): S3.4 - WBS Agent con Self-Correction
Nombre: WBSGeneratorAgent Implementation (Cyclic) Dominio: AI / Backend / Agents Story Points: 5 (Complejidad Alta) Dependencias: CE-S2-007, CE-S2-001
🚀 Prompt Optimizado
Contexto: Estamos desarrollando el WBSGeneratorAgent para C2Pro usando LangGraph. El objetivo es transformar el texto de un contrato en una estructura jerárquica (WBS) de 4 niveles. Para garantizar la calidad y reducir la carga cognitiva del usuario final, no enviaremos la primera respuesta del LLM ("Zero-shot"). Implementaremos un patrón de Reflexión (Reflection Pattern): el agente debe auditar su propia salida buscando errores estructurales o de trazabilidad y corregirlos automáticamente antes de entregar el resultado final.
Rol: Actúa como un Senior AI Engineer experto en flujos agénticos (Agentic Workflows) con LangGraph y Claude 3.5 Sonnet.
Tarea: Crear el módulo agents/wbs_generator.py implementando un StateGraph cíclico.
Requisitos del Grafo (State Machine):
Estado (WBSAgentState):
contract_text: str (Input)
wbs_items: List[WBSItem] (Output provisional)
attempt_count: int (Para evitar bucles infinitos, max 3)
validation_errors: List[str] (Lista de problemas detectados por el auditor)
Nodos:
Node 1: generator_node: Recibe el contrato y (opcionalmente) los errores previos. Genera la lista de ítems WBS.
Prompt System: Debe ser experto en construcción EPC. Si recibe errores previos, debe enfocarse explícitamente en arreglarlos.
Node 2: auditor_node: Recibe la wbs_items generada y aplica reglas de negocio estrictas (usando LLM o código determinístico, prefiere código para reglas duras):
Regla 1 (Jerarquía): ¿Todos los ítems (excepto raíz) tienen un parent_id válido que existe en la lista?
Regla 2 (Trazabilidad): ¿Todos los ítems tienen un source_clause_id no nulo? (Requisito crítico ).
Regla 3 (Profundidad): ¿Hay al menos 3 niveles de profundidad?
Edges (Lógica de Control):
Crear una Conditional Edge llamada should_retry:
SI validation_errors está vacío -&gt; Ir a END.
SI validation_errors tiene datos Y attempt_count &lt; 3 -&gt; Volver a generator_node.
SI attempt_count &gt;= 3 -&gt; Ir a END (Devolver lo mejor que tenga, marcando flag de "Revisión Urgente").
Parsing Estructurado:
Utiliza PydanticOutputParser o Tool Calling para asegurar que la salida siempre cumpla con el esquema WBSItemCreate definido en el Sprint 2.
Entregable: Código Python completo incluyendo:
La clase WBSAgentState.
Las funciones para los nodos generator_node y auditor_node.
La lógica de la conditional_edge.
La compilación del grafo (app = workflow.compile()).</t>
  </si>
  <si>
    <t>l Motor de Coherencia (Coherence Engine).
Este componente no es un agente de IA; es un Juez Determinístico. Mientras que los agentes anteriores (WBS/BOM) son "creativos" y probabilísticos, el Coherence Engine debe ser rígido y preciso. Su función es tomar todos los datos generados y aplicar las 10 Reglas Core definidas en el Roadmap para detectar contradicciones matemáticas, temporales o lógicas.
Este motor alimenta directamente el Coherence Score y el Centro de Alertas.
📝 Actividad 3: S3.6 (Sprint 3)
Nombre: CoherenceEngine v0 Implementation Dominio: Backend / Core Logic Story Points: 5 Dependencias: CE-S2-002 (Analysis Schemas), S3.4 (WBS), S3.5 (BOM)
Aquí tienes el prompt optimizado para construir este motor de reglas.
🚀 Prompt Optimizado
Contexto: Estamos desarrollando el componente central de C2Pro: el Coherence Engine. Este servicio recibe el "estado completo" de un proyecto (Contrato extraído, WBS generada, BOM generado, Presupuesto parseado, Cronograma parseado) y ejecuta una batería de validaciones automáticas. Según el Roadmap, para el MVP debemos implementar las 10 Reglas Core (R1 a R20). Estas reglas no usan LLMs (por coste y velocidad); son comprobaciones lógicas en Python (ej: if date_a &gt; date_b: raise Alert).
Rol: Actúa como un Software Architect especializado en motores de reglas (Rule Engines) y patrones de diseño (Strategy Pattern).
Tarea: Crear la arquitectura del motor y la implementación de las reglas en services/coherence/.
Requisitos Técnicos:
Arquitectura Extensible (Strategy Pattern):
Define una clase base abstracta CoherenceRule.
Método obligatorio: evaluate(context: ProjectContext) -&gt; List[AlertCreate].
Cada regla (R1, R2, etc.) debe ser una clase independiente que herede de la base. Esto permite añadir la regla R100 en el futuro sin tocar el motor principal.
Contexto de Datos (ProjectContext):
Define una dataclass o modelo Pydantic optimizado que cargue en memoria los datos necesarios para validar (para no hacer queries a DB en cada regla):
contract_dates (Start, End).
contract_amount.
wbs_items (Lista aplanada).
bom_items.
stakeholders.
Implementación de Reglas Clave (Ejemplos a codificar):
R1 (Fechas): Validar si schedule_end_date &gt; contract_deadline. Generar alerta Critical si es cierto.
R14 (Logística/Lead Time): Validar si optimal_order_date &lt; today para ítems en estado 'planned'. Esto requiere calcular: needed_at_site - (production_time + transit_time + buffer).
R15 (Presupuesto): Validar si un bom_item tiene budget_item_id == None. Alerta High.
Generación de Evidencia (Crítico para UI):
Las alertas generadas NO pueden ser solo texto. Deben llenar el campo evidence_json con los datos exactos que causaron el fallo (ej: {"contract_date": "2024-12-31", "schedule_date": "2025-01-15", "variance_days": 15}) para que el frontend pueda mostrarlos en el "Evidence Viewer".
Entregable: Código Python con:
La clase base CoherenceRule.
La clase CoherenceEngine (que itera y ejecuta todas las reglas).
La implementación concreta de las reglas R1 y R14 como demostración.</t>
  </si>
  <si>
    <t>Parser PDF (S1.2) pertenece técnicamente a la fase de Ingesta (Sprint 1-2), anterior al Sprint 3 (Motor de Coherencia). Sin embargo, es un prerrequisito crítico para que los agentes del Sprint 3 (como el WBS Generator) tengan texto que procesar, así que tiene todo el sentido abordarla ahora si quedó pendiente o se está refinando. Usaremos el ID que indicas (CE-SE-001) para tu seguimiento.
📝 Actividad: CE-SE-001 (Parser PDF)
Nombre: Implementación Parser PDF con PyMuPDF Dominio: Backend / Ingestion Story Points: 3 Prerrequisitos: schemas/documents.py (definido previamente).
Aquí tienes el prompt optimizado para construir un servicio de extracción de texto robusto y eficiente.
🚀 Prompt Optimizado
Contexto: Estamos desarrollando el módulo de Ingesta de Documentos para C2Pro. Los contratos EPC llegan en formato PDF (a menudo documentos extensos de +100 páginas). Necesitamos un servicio capaz de extraer el contenido textual de estos archivos de manera rápida y estructurada. Según la definición técnica del Roadmap, utilizaremos la librería PyMuPDF (fitz) por su velocidad y eficiencia en comparación con otras alternativas como PyPDF2. El texto extraído será el "alimento" para nuestros agentes de IA, por lo que la limpieza y la preservación del orden lógico son vitales.
Rol: Actúa como un Senior Python Backend Developer especializado en procesamiento de documentos y ETL.
Tarea: Crear el servicio de parseo en services/ingestion/pdf_parser.py.
Requisitos Técnicos:
Librería Core: Utiliza pymupdf (importado como fitz).
Clase PdfParserService:
Método principal: extract_text(file_content: bytes) -&gt; ParsedDocument.
El objeto ParsedDocument (o un diccionario tipado) debe contener:
full_text: Todo el texto concatenado (para pasar al LLM).
meta: Metadatos del PDF (Autor, Título, Fecha creación).
page_count: Número total de páginas.
pages: Lista de diccionarios, donde cada uno representa una página (page_number, text_content). Esto es útil si necesitamos citar "encontrado en página X".
Limpieza Básica:
Implementa una limpieza ligera: eliminar múltiples espacios en blanco consecutivos y caracteres nulos/ilegibles.
Opcional pero recomendado: Intenta detectar y excluir encabezados/pies de página repetitivos si fitz provee coordenadas, o al menos deja un comentario TODO indicando dónde iría esa lógica (ya que confunden a la IA).
Manejo de Errores:
Si el PDF está encriptado/protegido con contraseña, debe lanzar una AppException específica (DocumentEncryptedError).
Si el PDF es una imagen escaneada (no tiene capa de texto), debe detectarlo (si text está vacío tras procesar páginas) y lanzar una alerta o error indicando que "Se requiere OCR" (el OCR no está en el alcance de este ticket, solo la detección).
Entregable: Código Python completo de la clase PdfParserService, listo para ser inyectado como dependencia en los routers de FastAPI.</t>
  </si>
  <si>
    <t>En el contexto de proyectos EPC, la información más valiosa (partidas presupuestarias, cronogramas, listas de materiales) casi siempre vive dentro de tablas. Si solo extraemos texto plano, esa estructura se pierde y el agente de IA alucinará las relaciones entre columnas.
Vamos a refinar el prompt para utilizar las capacidades nativas de detección de tablas de PyMuPDF (método find_tables), convirtiéndolas a formato Markdown para que el LLM las entienda perfectamente dentro del flujo del documento.
Aquí tienes el prompt actualizado y potenciado.
📝 Actividad: CE-SE-001 (Refinada)
Nombre: Parser PDF con Extracción de Tablas (Hybrid Strategy) Dominio: Backend / Ingestion Story Points: 5 (Sube por la complejidad de tablas)
Referencias: Roadmap §8.2 (Parser PDF) , soporte para BOM/WBS.
🚀 Prompt Optimizado
Contexto: Estamos refinando el módulo de Ingesta de Documentos de C2Pro. Los contratos de construcción contienen tablas críticas (cronogramas de hitos, listas de precios, especificaciones técnicas). El parser actual de texto plano destruye la relación fila/columna, haciendo imposible que la IA entienda qué precio corresponde a qué ítem. Necesitamos actualizar el PdfParserService para detectar estas tablas y preservarlas. Utilizaremos PyMuPDF (fitz), que en sus versiones recientes incluye un potente método find_tables().
Rol: Actúa como un Data Engineer experto en "Unstructured Data ETL". Entiendes que para un LLM (como Claude), la mejor forma de "ver" una tabla es en formato Markdown.
Tarea: Actualizar el servicio services/ingestion/pdf_parser.py para implementar una Estrategia Híbrida de Extracción.
Requisitos Técnicos:
Detección de Tablas:
Utiliza page.find_tables() de fitz para localizar las coordenadas de las tablas en cada página.
Configuración: Ajusta los parámetros de detección (snap_tolerance, join_tolerance) para ser tolerante con bordes invisibles, común en PDFs modernos.
Estrategia de Reemplazo (Text + Markdown):
No extraigas las tablas al final del documento. CRÍTICO: Deben aparecer en el full_text en su posición original relativa.
Algoritmo:
Detectar tablas en la página.
Extraer el contenido de la tabla y convertirlo a string con formato Markdown (ej: | Ítem | Descripción | Precio |...).
Extraer el texto de la página excluyendo el área de las tablas (usando clip o máscaras) para evitar duplicar el contenido.
Insertar el string Markdown de la tabla en el lugar correspondiente del flujo de texto.
Estructura de Salida (ParsedDocument):
full_text: El texto completo con las tablas incrustadas como Markdown.
tables_data: Una lista estructurada (Lista de Listas o JSON) con la data cruda de las tablas. Esto servirá para validaciones programáticas futuras (ej. sumar columnas sin depender del LLM).
Manejo de Errores de Tabla:
Si una tabla tiene demasiadas celdas vacías (&gt;80%) o estructura incoherente, debe degradarse a texto plano (fallback) para evitar ensuciar el contexto con Markdown roto.
Entregable: Código Python actualizado de la clase PdfParserService. Incluye una función auxiliar _table_to_markdown(table: fitz.Table) -&gt; str.</t>
  </si>
  <si>
    <t>El formato BC3 (FIEBDC-3) es el estándar absoluto para intercambio de bases de datos de construcción en España y gran parte de Latinoamérica. A diferencia de Excel (que es visual), BC3 es un formato de texto plano estructurado, pero muy antiguo y propenso a problemas de codificación (tildes rotas).
Según el Roadmap, esta actividad es P0 porque permite importar presupuestos profesionales directamente desde software como Presto, Arquímedes o Menfis sin errores humanos.
📝 Actividad: S1.4 (Sprint 1)
Nombre: Implementación Parser BC3 (Standard FIEBDC) Dominio: Backend / Ingestion Story Points: 3 Dependencias: schemas/budget.py Librería clave: pyfiebdc (o implementación custom si se requiere control total).
Aquí tienes el prompt optimizado para dominar este formato legado.
🚀 Prompt Optimizado
Contexto: Estamos finalizando el módulo de Ingesta de Presupuestos para C2Pro. Además de Excel, debemos soportar el formato estándar de la industria: BC3 (FIEBDC-3). Este es un formato de archivo de texto plano (similar a CSV pero jerárquico) utilizado por todo el software profesional de presupuestos (Presto, Arquímedes). El reto principal es que es un formato antiguo (años 90) que suele utilizar codificaciones como Windows-1252 o ISO-8859-1 en lugar de UTF-8, lo que rompe caracteres especiales si no se maneja bien.
Rol: Actúa como un Integration Engineer experto en formatos de intercambio de datos legados y la especificación FIEBDC-3.
Tarea: Crear el servicio services/ingestion/bc3_parser.py.
Requisitos Técnicos:
Librería: Utiliza la librería open-source pyfiebdc para el parseo base, pero envuélvela en nuestra propia lógica de negocio.
Manejo de Encoding (Crítico):
Implementa una estrategia de "intento múltiple" para abrir el archivo. Intenta leer con utf-8, si falla prueba cp1252 (Windows estándar), y si falla latin-1. Esto es vital para que no aparezcan símbolos extraños en las descripciones ("Hormign").
Extracción de Jerarquía:
El formato BC3 distingue entre "Capítulos" (agrupadores, registros ~C) y "Partidas" (ítems con precio, registros ~D o ~M).
Debes aplanar esta estructura para nuestra base de datos, pero manteniendo la referencia al padre.
Extrae: code (código), unit (unidad), summary (resumen/texto corto), price (precio unitario).
Descomposición de Precios (Opcional):
Si el registro tiene descomposición (materiales + mano de obra), prioriza extraer el Precio Total de la partida para simplificar.
Output Estructurado:
Retorna una lista de objetos BudgetItem normalizados, igual que el parser de Excel, para que el resto del sistema (Agentes de IA) no sepa si vino de un Excel o un BC3.
Entregable: Código Python de la clase Bc3ParserService. Incluye un comentario explicativo sobre cómo detectas la codificación del archivo.</t>
  </si>
  <si>
    <t>Una vez que el sistema "entiende" el contrato (WBS) y tiene los números (BOM/Presupuesto), necesita saber quién es quién. En los proyectos de construcción, la ambigüedad en los roles (¿Quién es el Supervisor? ¿Quién firma las actas?) es la causa #1 de disputas administrativas.
El Stakeholder Extraction Agent es el encargado de leer las secciones administrativas del contrato ("Comparecen", "Notificaciones", "Representantes") y construir el mapa de actores.
📝 Actividad 1: S4.1 (Sprint 4)
Nombre: Stakeholder Extraction Agent Dominio: AI / Agents Story Points: 3 Dependencias: CE-S2-007 (Client Wrapper), CE-S2-001 (Schemas) Referencia: Roadmap Sección 9 (RACI Matrix).
Aquí tienes el prompt optimizado para este agente.
🚀 Prompt Optimizado
Contexto: Estamos desarrollando el módulo de Gestión de Interesados para C2Pro. Necesitamos un agente de IA capaz de identificar a todas las personas físicas y jurídicas mencionadas en el contrato y asignarles un Rol Normalizado. El reto principal es la desambiguación: El contrato puede referirse a la misma entidad como "El Contratista", "Acme S.L." o "La Parte Ejecutora". El agente debe unificar estas menciones en un único objeto Stakeholder. Además, debe detectar la relación jerárquica (quién trabaja para quién).
Rol: Actúa como un Contract Administrator experto en interpretar organigramas de proyectos de construcción.
Tarea: Crear el módulo agents/stakeholders_extractor.py.
Requisitos Técnicos:
System Prompt (Especializado):
Instruye al modelo para buscar secciones específicas: "Reunidos", "Intervienen", "Cláusula de Notificaciones", "Representantes del Proyecto".
Taxonomía de Roles: Debe clasificar a cada persona detectada en uno de los roles estándar del sistema (Enum):
CLIENT (Promotor/Dueño)
MAIN_CONTRACTOR (Contratista Principal)
SUBCONTRACTOR (Subcontrata)
PROJECT_MANAGER (Dirección Facultativa)
HEALTH_SAFETY (Coordinador de Seguridad)
ADMIN (Administrativo)
Extracción Estructurada (Schema):
Output esperado (Lista de objetos):
name: Nombre legal o Placeholder de anonimización (ej. &lt;PERSON_1&gt;).
company_name: Empresa a la que representa.
role: Enum.
contact_info: Email/Teléfono (si están disponibles).
is_legal_entity: Booleano (True si es empresa, False si es persona).
Lógica de Relaciones:
El agente debe intentar inferir el campo reports_to (ID de otro stakeholder).
Ejemplo: Si el texto dice "Juan Pérez, actuando en nombre de Constructora X", entonces Juan Pérez (reports_to) -&gt; Constructora X.
Manejo de Anonimización:
El agente debe ser robusto ante datos anonimizados. Si recibe "El &lt;PERSON_1&gt; será el Director de Obra", debe extraer: {name: "&lt;PERSON_1&gt;", role: "PROJECT_MANAGER"}. No debe alucinar nombres reales si no están en el texto.
Entregable: Código Python con la configuración del agente (puede ser una Chain simple de LangChain o un nodo de LangGraph si prefieres consistencia) y los esquemas Pydantic de salida.</t>
  </si>
  <si>
    <t>Una vez cubiertos los documentos PDF (contratos), debemos atacar la "verdad económica" del proyecto: el Presupuesto. En el sector EPC, estos archivos suelen venir en Excel con formatos muy variados. No basta con un simple pandas.read_excel; necesitamos un parser inteligente que encuentre dónde empieza realmente la tabla de precios, ignorando logotipos y celdas combinadas en la cabecera.
📝 Actividad: S1.3 (Sprint 1)
Nombre: Implementación Parser Excel (Budget Extraction) Dominio: Backend / Ingestion Story Points: 3 Dependencias: schemas/wbs.py, schemas/bom.py (para alinear la salida).
Referencia: Roadmap Sección 8.2.
Aquí tienes el prompt optimizado para crear este componente crítico.
🚀 Prompt Optimizado
Contexto: Estamos desarrollando el módulo de Ingesta de Presupuestos para C2Pro. Los presupuestos de construcción llegan en archivos Excel (.xlsx) complejos. A diferencia de una base de datos limpia, estos Excels tienen:
Múltiples hojas (pestañas), algunas irrelevantes (ej. "Portada").
Encabezados que no empiezan en la fila 1 (pueden estar en la fila 10, después de logos y datos del cliente).
Celdas combinadas (Merged Cells).
Nombres de columnas inconsistentes (ej. "P. Unitario", "Precio U.", "Unit Price", "P.U.").
Necesitamos un parser robusto usando openpyxl que normalice este caos y extraiga una lista limpia de partidas presupuestarias.
Rol: Actúa como un Senior Python Developer experto en manipulación de datos y librerías de Office.
Tarea: Crear el servicio services/ingestion/excel_parser.py.
Requisitos Técnicos:
Librería: Utiliza openpyxl en modo read_only=True (para eficiencia de memoria con archivos grandes) y data_only=True (para extraer los valores calculados, no las fórmulas de Excel).
Detección Heurística de Cabeceras:
No asumas que la cabecera es la fila 1.
Implementa una función find_header_row(sheet) que itere las primeras 20 filas buscando palabras clave obligatorias como: ["descripción", "description", "concepto"] Y ["precio", "price", "importe", "total"].
Si no encuentra estas keywords, salta la hoja (probablemente sea una portada).
Mapeo de Columnas (Normalización):
Una vez detectada la cabecera, mapea las columnas encontradas a nuestro esquema interno:
item_code (Código partida: 1.2.3)
description (Descripción)
unit (Unidad: m3, kg, h)
quantity (Cantidad)
unit_price (Precio Unitario)
total_price (Importe Total)
Validación de Filas:
Ignora filas vacías o filas de "Totales Parciales" (detectadas si falta el código o la descripción es "TOTAL...").
Convierte tipos numéricos de forma segura (maneja símbolos de moneda "€", "$", "," decimales).
Output Estructurado:
Retorna una lista de objetos BudgetItem (según tus esquemas Pydantic) o un diccionario con la estructura: {'sheets_processed': int, 'items': List[BudgetItem], 'total_amount': float}.
Entregable: Completo de la clase ExcelBudgetParser. Incluye la lista de sinónimos (COLUMN_ALIASES) que usarás para detectar las columnas.</t>
  </si>
  <si>
    <t>El formato BC3 (FIEBDC-3) es el estándar absoluto para intercambio de bases de datos de construcción en España y gran parte de Latinoamérica. A diferencia de Excel (que es visual), BC3 es un formato de texto plano estructurado, pero muy antiguo y propenso a problemas de codificación (tildes rotas).
Según el Roadmap, esta actividad es P0 porque permite importar presupuestos profesionales directamente desde software como Presto, Arquímedes o Menfis sin errores humanos.
📝 Actividad: S1.4 (Sprint 1)
Nombre: Implementación Parser BC3 (Standard FIEBDC) Dominio: Backend / Ingestion Story Points: 3 Dependencias: schemas/budget.py Librería clave: pyfiebdc (o implementación custom si se requiere control total).
Aquí tienes el prompt optimizado para dominar este formato legado.
🚀 Prompt Optimizado
Contexto: Estamos finalizando el módulo de Ingesta de Presupuestos para C2Pro. Además de Excel, debemos soportar el formato estándar de la industria: BC3 (FIEBDC-3). Este es un formato de archivo de texto plano (similar a CSV pero jerárquico) utilizado por todo el software profesional de presupuestos (Presto, Arquímedes). El reto principal es que es un formato antiguo (años 90) que suele utilizar codificaciones como Windows-1252 o ISO-8859-1 en lugar de UTF-8, lo que rompe caracteres especiales si no se maneja bien.
Rol: Actúa como un Integration Engineer experto en formatos de intercambio de datos legados y la especificación FIEBDC-3.
Tarea: Crear el servicio services/ingestion/bc3_parser.py.
Requisitos Técnicos:
Librería: Utiliza la librería open-source pyfiebdc para el parseo base, pero envuélvela en nuestra propia lógica de negocio.
Manejo de Encoding (Crítico):
Implementa una estrategia de "intento múltiple" para abrir el archivo. Intenta leer con utf-8, si falla prueba cp1252 (Windows estándar), y si falla latin-1. Esto es vital para que no aparezcan símbolos extraños en las descripciones ("Hormign").
Extracción de Jerarquía:
El formato BC3 distingue entre "Capítulos" (agrupadores, registros ~C) y "Partidas" (ítems con precio, registros ~D o ~M).
Debes aplanar esta estructura para nuestra base de datos, pero manteniendo la referencia al padre.
Extrae: code (código), unit (unidad), summary (resumen/texto corto), price (precio unitario).
Descomposición de Precios (Opcional):
Si el registro tiene descomposición (materiales + mano de obra), prioriza extraer el Precio Total de la partida para simplificar.
Output Estructurado:
Retorna una lista de objetos BudgetItem normalizados, igual que el parser de Excel, para que el resto del sistema (Agentes de IA) no sepa si vino de un Excel o un BC3.
Entregable: la clase Bc3ParserService. Incluye un comentario explicativo sobre cómo detectas la codificación del archivo.</t>
  </si>
  <si>
    <t>sta es una actividad crítica de Gate 8 (Privacy &amp; Compliance). Si fallamos aquí, incumplimos GDPR y exponemos datos sensibles a un tercero (Anthropic).
El requerimiento "Zero PII to Claude" implica que debemos interceptar el texto antes de que salga de nuestra red, reemplazar los datos sensibles por tokens o hashes reversibles, y guardar el mapa de traducción para que el usuario (y solo el usuario) pueda ver los datos reales en la UI.
Aquí tienes el prompt optimizado para un Security Lead.
📝 Actividad: CE-S3-004
Nombre: Anonymizer Service PII (Microsoft Presidio) Dominio: Security / Backend Story Points: 5 Dependencias: CE-S3-001 (Parser) Gate: Gate 8 (GDPR Compliance)
🚀 Prompt Optimizado
Contexto: Estamos implementando el Cinturón de Seguridad de Datos para C2Pro (Sprint 3). El parser (CE-S3-001) extrae texto crudo de contratos que contiene PII (Información Personal Identificable): DNI/NIE, teléfonos, emails y cuentas bancarias (IBAN). Según la política de Gate 8, está prohibido enviar estos datos en texto claro a la API de Claude/Anthropic. Necesitamos un servicio de anonimización robusto que utilice Microsoft Presidio. Este servicio debe detectar las entidades, reemplazarlas por tokens únicos (ej. &lt;PHONE_1&gt;, &lt;IBAN_2&gt;) y devolver un "mapa de deanonymization" para poder restaurar la información en el frontend.
Rol: Actúa como un Security Lead &amp; Python Engineer experto en NLP y protección de datos (GDPR).
Tarea: Desarrollar el servicio apps/api/src/services/privacy/anonymizer.py.
Requisitos Técnicos:
Motor de Análisis (Presidio + Spacy):
Utiliza presidio-analyzer con el modelo es_core_news_lg (Español Large) para máxima precisión en el contexto de frases completas.
Singleton: La carga del modelo es pesada. Implementa la clase como un Singleton para no recargar el modelo en cada request.
Entidades a Detectar (Scope Estricto):
EMAIL_ADDRESS: Usar reconocedor default.
PHONE_NUMBER: Usar reconocedor default.
IBAN_CODE: Usar reconocedor default o regex bancaria.
ES_NIF (DNI/NIE): Esto es crítico. Presidio a veces falla con DNIs españoles. Implementa un Custom Recognizer con Regex precisa para DNI (8 números + letra) y NIE (X/Y/Z + 7 números + letra). Valida checksum si es posible, o al menos el formato estricto.
Estrategia de Reemplazo (Tokenización Reversible):
No uses asteriscos (*****). Usa presidio-anonymizer con el operador replace.
Formato: &lt;ENTITY_TYPE_ID&gt; (ej: &lt;PERSON_1&gt;, &lt;EMAIL_2&gt;).
Consistencia: Si "Juan Pérez" aparece 5 veces, debe ser reemplazado 5 veces por el mismo token &lt;PERSON_1&gt;. Esto es vital para que la IA entienda que es el mismo actor.
Security Fail-Safe:
Si el motor de anonimización falla (ej. error al cargar modelo), el método debe lanzar una SecurityException y bloquear el proceso. Bajo ninguna circunstancia se debe devolver el texto original sin procesar (Fail Closed).
Output:
El método anonymize(text: str) debe retornar un objeto:
Python
class AnonymizedPayload:
    text: str  # Texto seguro para enviar a Claude
    deanonymization_map: Dict[str, str] # { "&lt;PERSON_1&gt;": "Juan Pérez", ... }
Entregable: Código Python completo de la clase PiiAnonymizerService. Incluye la definición del PatternRecognizer personalizado para DNI/NIE español.</t>
  </si>
  <si>
    <t>Esta actividad es el núcleo orquestador. Mientras que el AnthropicWrapper (CE-S3-005) es el "conductor" que sabe manejar el coche, el AIService es el "GPS" que decide adónde ir y qué hacer.
Este servicio encapsula la lógica de negocio de la IA: gestiona los prompts, maneja los reintentos ante caídas de red (Resiliencia), limpia la salida (JSON Parsing) y registra el consumo para que no nos arruinemos (Observabilidad).
Aquí tienes el prompt optimizado para un AI Lead.
📝 Actividad: CE-S4-001
Nombre: AI Service Orchestrator (Retry + Logging + Parsing) Dominio: AI / Backend Story Points: 5 Dependencias: CE-S2-007 (Client), CE-S3-005 (Secure Client) Riesgo: Alto (Coste y Estabilidad)
🚀 Prompt Optimizado
Contexto: Estamos implementando el AIService en apps/api/src/ai/ai_service.py. Este es el servicio de alto nivel que utilizarán los controladores de la API. Su responsabilidad no es solo "llamar a Claude", sino garantizar que la llamada sea útil, robusta y auditable. El Wrapper de bajo nivel ya maneja la seguridad/anonimización. Este servicio debe manejar la Lógica de Aplicación. Problemas comunes que debemos resolver aquí:
Rate Limits: La API de Anthropic puede fallar (503/429). Necesitamos reintentos inteligentes.
JSON Roto: A veces la IA devuelve texto antes del JSON ("Aquí tienes tu respuesta: {...}"). Necesitamos un parser robusto.
Cost Blindness: Si no logueamos los tokens de cada llamada, no sabremos cuánto nos cuesta cada feature.
Rol: Actúa como un AI Lead &amp; Backend Architect experto en integración de LLMs en producción.
Tarea: Desarrollar la clase AIService.
Requisitos Técnicos:
Inyección de Dependencias:
Debe recibir AnthropicWrapper (o SecureAnthropicClient) en el constructor.
Resiliencia (Tenacity):
Utiliza la librería tenacity para decorar los métodos de llamada.
Configuración:
stop=stop_after_attempt(3) (Máximo 3 intentos).
wait=wait_exponential(multiplier=1, min=4, max=10) (Backoff exponencial para no saturar la API).
retry=retry_if_exception_type((RateLimitError, APIError)) (Solo reintentar errores transitorios, no BadRequest).
Método Genérico de Extracción (run_extraction):
Input: system_prompt (str), user_content (str).
Robust JSON Parsing:
No hagas un simple json.loads(). Utiliza la librería json_repair (o una función utilitaria con regex) para extraer el bloque JSON válido del string de respuesta, ignorando el "chatter" introductorio de la IA.
Logging de Uso (Cost Control):
Cada vez que se recibe una respuesta, debe registrar una entrada estructurada (aunque sea un print o logger.info por ahora, preparado para DB):
timestamp, model_used (ej. claude-3-5-sonnet), input_tokens, output_tokens, latency_ms.
Esto es vital para la Gate 5.
Manejo de Errores de Negocio:
Si después de los reintentos falla, debe lanzar una AIServiceException limpia para que el frontend muestre "El servicio de IA está temporalmente no disponible", en lugar de un error 500 crudo.
Entregable: Código Python completo de la clase AIService, incluyendo los decoradores de tenacity y la lógica de limpieza de JSON.</t>
  </si>
  <si>
    <t>ID Nombre Sprint Semana Fecha_Inicio Fecha_Fin Duracion_Dias Prioridad Estado Dominio CTO_Gate Dependencias Asignado Criterio_Aceptacion Riesgo Entregable</t>
  </si>
  <si>
    <t>CE-S2-001 Schemas Pydantic Documents Module Sprint 2 Semana 2 2026-01-09 2026-01-10 2 P0 done Backend Gate 5 Ninguna Backend Lead Request/Response DTOs con clause_id y OpenAPI spec generada Bajo apps/api/src/modules/documents/schemas.py</t>
  </si>
  <si>
    <t>CE-S2-002 Schemas Pydantic Analysis Module Sprint 2 Semana 2 2026-01-09 2026-01-10 2 P0 done Backend Gate 5 Ninguna Backend Lead DTOs Alert/Analysis con evidence_json y validaciones Pydantic v2 Bajo apps/api/src/modules/analysis/schemas.py</t>
  </si>
  <si>
    <t>CE-S2-003 Schemas Pydantic Stakeholders Module Sprint 2 Semana 2 2026-01-11 2026-01-11 1 P0 done Backend Gate 5 CE-S2-001 Backend Lead DTOs Stakeholder/WBS/BOM/RACI con clause_id FK Bajo apps/api/src/modules/stakeholders/schemas.py</t>
  </si>
  <si>
    <t>CE-S2-004 Implementar Redis/Upstash Cache Sprint 2 Semana 2 2026-01-09 2026-01-09 1 P0 done Infrastructure Gate 7 Ninguna DevOps Cache extracciones por hash documento TTL 24h hit ratio &gt;80% Medio apps/api/src/core/cache.py</t>
  </si>
  <si>
    <t>CE-S2-005 Model Routing Dinámico Config Sprint 2 Semana 2 2026-01-10 2026-01-10 1 P0 done AI Gate 7 Ninguna AI Lead Config YAML routing Sonnet/Haiku por operación Bajo apps/api/src/ai/model_routing.yaml</t>
  </si>
  <si>
    <t>CE-S2-006 Caché de Prompts Idénticos Sprint 2 Semana 2 2026-01-11 2026-01-11 1 P1 done AI Gate 7 CE-S2-004 AI Lead Hash SHA-256 input resultado cacheado 24h Bajo apps/api/src/ai/prompt_cache.py</t>
  </si>
  <si>
    <t>CE-S2-007 LLM Client Wrapper Anthropic Sprint 2 Semana 2 2026-01-11 2026-01-11 1 P0 done AI Gate 7 Ninguna AI Lead SDK retry exponential backoff logging cost tracking Medio apps/api/src/ai/llm_client.py</t>
  </si>
  <si>
    <t>CE-S2-008 Prompt Templates con Versioning Sprint 2 Semana 2 2026-01-10 2026-01-10 1 P0 en curso AI Gate 5 Ninguna AI Lead Template engine con variables versión en metadata Bajo Avanzamos con la octava actividad del Sprint 2.
Esta tarea, aunque pequeña en Story Points (1 SP), tiene un impacto enorme en la Calidad (Quality Assurance) y la experiencia del desarrollador frontend (DX). Una API que devuelve errores inconsistentes (a veces un string, a veces un JSON plano, a veces el default de Pydantic) es una pesadilla para integrar. Necesitamos estandarizar esto antes de empezar con el Frontend.
📝 Actividad 8: CE-S2-009
Nombre: Error Handling Consistente API Dominio: Backend Story Points: 1 Dependencias: Ninguna
Aquí tienes el prompt optimizado para estandarizar las respuestas de error.
🚀 Prompt Optimizado
Contexto: Estamos puliendo el backend de C2Pro (FastAPI) para prepararlo para la integración con el frontend. Actualmente, los errores de validación de Pydantic y las excepciones HTTP devuelven estructuras diferentes, lo que dificulta que el cliente (Next.js) muestre mensajes claros al usuario. Necesitamos un Mecanismo Global de Manejo de Errores que intercepte todas las excepciones y devuelva siempre una estructura JSON predecible y uniforme.
Rol: Actúa como un API Designer meticuloso, preocupado por la experiencia del desarrollador (DX) y la observabilidad.
Tarea: Crear el módulo core/exceptions.py (para definiciones) y core/handlers.py (para lógica de intercepción) y proporcionar el código para registrarlos en la app principal de FastAPI.
Requisitos Técnicos:
Esquema de Error Unificado:
Todas las respuestas de error (4xx y 5xx) deben seguir este formato JSON:
JSON
{
  "status_code": 400,
  "error_code": "INVALID_INPUT",
  "message": "Descripción legible para humanos",
  "details": { ... }, // Opcional: detalle de campos fallidos
  "timestamp": "ISO-8601",
  "path": "/api/v1/..."
}
Manejo de Pydantic v2 (RequestValidationError):
Crítico: Sobrescribe el handler por defecto. Transforma la lista compleja de errores de Pydantic en un diccionario simple campo: error dentro de details, para que el frontend pueda marcar fácilmente los inputs en rojo.
Excepciones Personalizadas:
Define una clase base AppException y subclases comunes que usaremos en la lógica de negocio:
ResourceNotFoundException (404)
BusinessLogicException (400)
PermissionDeniedException (403)
QuotaExceededException (429) - Importante para el control de costes de IA.
Logging de Errores 500:
Cualquier excepción no manejada (Internal Server Error) debe ser capturada, logueada con su stack trace en el servidor (para Sentry/CloudWatch) y devolver al usuario solo un mensaje genérico ("Internal system error") con un código de referencia, nunca el stack trace real (por seguridad).
Entregable con:
Las clases de excepción personalizadas.
Las funciones async def para manejar HTTPException, RequestValidationError y Exception genérica.
Snippet mostrando cómo añadir app.add_exception_handler(...) en el archivo main.py.</t>
  </si>
  <si>
    <t>CE-S2-009 Error Handling Consistente API Sprint 2 Semana 2 2026-01-10 2026-01-10 1 P0 done Backend  Ninguna Backend Lead Excepciones custom códigos HTTP JSON estructurado Bajo apps/api/src/core/exceptions.py</t>
  </si>
  <si>
    <t>CE-S2-010 Wireframes 6 Vistas Core Sprint 2 Semana 2 2026-01-09 2026-01-09 1 P0 done UX/UI Gate 6 Ninguna UX Designer Wireframes Dashboard/Projects/Evidence/Alerts/Stakeholders/RACI Medio docs/wireframes/</t>
  </si>
  <si>
    <t>CE-S2-011 Setup Next.js 14 + Tailwind + shadcn/ui Sprint 2 Semana 2 2026-01-10 2026-01-10 1 P0 en curso Frontend  Ninguna Frontend Lead Proyecto configurado componentes base app renderiza Bajo apps/web/</t>
  </si>
  <si>
    <t>CE-S2-012 GitHub Actions CI Completo Sprint 2 Semana 2 2026-01-09 2026-01-09 1 P0 done DevOps  Ninguna DevOps Lint/test/build cada PR bloqueados sin CI verde Bajo .github/workflows/ci.yml</t>
  </si>
  <si>
    <t>CE-S2-013 Auto-deploy Staging on Merge Main Sprint 2 Semana 2 2026-01-10 2026-01-10 0,5 P0 done DevOps  CE-S2-012 DevOps Railway + Vercel webhooks merge deploy &lt;5 min Bajo .github/workflows/deploy-staging.yml</t>
  </si>
  <si>
    <t>CE-S2-014 Benchmark Baseline Endpoints Sprint 2 Semana 2 2026-01-11 2026-01-11 0,5 P1 done Performance  Ninguna Backend Lead Latencia P50/P95/P99 métricas baseline documentadas Bajo docs/performance/baseline.md</t>
  </si>
  <si>
    <t>CE-S2-015 Golden Dataset v1.0 (10 proyectos) Sprint 2 Semana 2 2026-01-09 2026-01-10 2 P0 done Testing Gate 5 Ninguna QA Lead 10 proyectos sintéticos anotados README incluido Medio tests/golden/</t>
  </si>
  <si>
    <t>CE-S2-016 Tests Regresión Accuracy CI Sprint 2 Semana 2 2026-01-11 2026-01-11 1 P0 done Testing Gate 5 CE-S2-015 QA Lead CI compara accuracy vs baseline falla si &lt;85% Medio tests/accuracy/</t>
  </si>
  <si>
    <t>CE-S3-001 Parser PDF con PyMuPDF Sprint 3 Semana 3 2026-01-13 2026-01-15 3 P0 done Backend Gate 4 Ninguna Backend Lead Extracción texto posiciones offsets 10 PDFs test Medio apps/api/src/parsers/pdf_parser.py</t>
  </si>
  <si>
    <t>CE-S3-002 Parser Excel con openpyxl Sprint 3 Semana 3 2026-01-13 2026-01-14 2 P0 done Backend Gate 4 Ninguna Backend Lead Lectura cronogramas presupuestos formatos estándar Bajo apps/api/src/parsers/excel_parser.py</t>
  </si>
  <si>
    <t>CE-S3-003 Parser BC3 con pyfiebdc Sprint 3 Semana 3 2026-01-15 2026-01-16 2 P0 en curso Backend Gate 4 Ninguna Backend Lead Partidas presupuestarias españolas BC3 100% Medio apps/api/src/parsers/bc3_parser.py</t>
  </si>
  <si>
    <t>CE-S3-004 Anonymizer Service PII Sprint 3 Semana 3 2026-01-16 2026-01-17 2 P0 done Security Gate 8 CE-S3-001 Security Lead Detección hash DNI/email/teléfono/IBAN 0 PII Claude Alto apps/api/src/services/anonymizer.py</t>
  </si>
  <si>
    <t>CE-S3-005 ClauseExtractorAgent Sprint 3 Semana 3 2026-01-15 2026-01-16 2 P0 Pendiente AI Gate 4 CE-S3-001 AI Lead Extracción cláusulas IDs estables únicos documento Alto apps/api/src/agents/clause_extractor.py</t>
  </si>
  <si>
    <t>CE-S3-006 Task Queue Celery/Redis Sprint 3 Semana 3 2026-01-13 2026-01-14 2 P0 en curso Infrastructure Gate 7 CE-S2-004 DevOps Jobs async parsing coherence 100 pág no bloquea Medio apps/api/src/tasks/</t>
  </si>
  <si>
    <t>CE-S3-007 Endpoint GET /projects/{id}/coherence-score Sprint 3 Semana 3 2026-01-14 2026-01-14 0,5 P0 en curso API Gate 5 CE-S2-001 Backend Lead Response schema validado score + breakdown Bajo apps/api/src/routers/projects.py</t>
  </si>
  <si>
    <t>CE-S3-008 Endpoints CRUD /projects Sprint 3 Semana 3 2026-01-14 2026-01-15 1 P0 Pendiente API  CE-S2-001 Backend Lead List/Get/Create/Update/Delete tests integración Bajo apps/api/src/routers/projects.py</t>
  </si>
  <si>
    <t>CE-S3-009 Health Check Endpoints Sprint 3 Semana 3 2026-01-13 2026-01-13 0,5 P0 Pendiente DevOps  Ninguna DevOps /health /ready /live UptimeRobot configurado Bajo apps/api/src/routers/health.py</t>
  </si>
  <si>
    <t>CE-S3-010 Secrets Management GitHub Sprint 3 Semana 3 2026-01-14 2026-01-14 1 P0 Pendiente DevOps Gate 8 Ninguna DevOps Separación secrets entorno 0 secrets código Bajo .github/workflows/</t>
  </si>
  <si>
    <t>CE-S3-011 Tests Integración Parsers Sprint 3 Semana 3 2026-01-17 2026-01-17 1 P0 Pendiente Testing  CE-S3-001;CE-S3-002;CE-S3-003 QA Lead Tests archivos reales PDF/Excel/BC3 10 correctos Medio tests/integration/parsers/</t>
  </si>
  <si>
    <t>CE-S3-012 Propagar clause_id a Stakeholders Sprint 3 Semana 3 2026-01-16 2026-01-16 1 P0 Pendiente Backend Gate 4 CE-S3-005 Backend Lead source_clause_id populated 100% stakeholders FK Medio apps/api/src/services/stakeholder_service.py</t>
  </si>
  <si>
    <t>CE-S4-001 AI Service + Claude API Integration Sprint 3 Semana 4 2026-01-20 2026-01-21 2 P0 Pendiente AI Gate 5 CE-S2-007 AI Lead Extracción funciona llamadas logueadas retry Alto apps/api/src/ai/ai_service.py</t>
  </si>
  <si>
    <t>CE-S4-002 Cost Controller Budget Sprint 3 Semana 4 2026-01-20 2026-01-20 1 P0 Pendiente AI Gate 7 CE-S4-001 AI Lead Bloquea LLM exceder budget alertas 50/75/90/100% Alto apps/api/src/ai/cost_controller.py</t>
  </si>
  <si>
    <t>CE-S4-003 WBSGeneratorAgent Sprint 3 Semana 4 2026-01-21 2026-01-22 2 P0 Pendiente AI Gate 5 CE-S4-001 AI Lead WBS 4 niveles contrato requires_approval=True Alto apps/api/src/agents/wbs_generator.py</t>
  </si>
  <si>
    <t>CE-S4-004 BOMBuilderAgent Sprint 3 Semana 4 2026-01-22 2026-01-23 2 P0 Pendiente AI Gate 5 CE-S4-001;CE-S4-003 AI Lead BOM lead times WBS contract_clause_id populated Alto apps/api/src/agents/bom_builder.py</t>
  </si>
  <si>
    <t>CE-S4-005 Implementar 8 Reglas Coherencia Restantes Sprint 3 Semana 4 2026-01-21 2026-01-24 4 P0 Pendiente AI Gate 5 CE-S4-003;CE-S4-004 AI Lead R2/R6/R11/R12/R14/R15/R19/R20 10/10 reglas tests Alto apps/api/src/coherence/rules/</t>
  </si>
  <si>
    <t>CE-S4-006 AlertGenerator con Evidencias Sprint 3 Semana 4 2026-01-23 2026-01-23 1 P0 Pendiente AI Gate 5 CE-S4-005 AI Lead Alertas source_clause_id affected_ids evidence_json Medio apps/api/src/coherence/alert_generator.py</t>
  </si>
  <si>
    <t>CE-S4-007 Calibrar Coherence Score 10 Reglas Sprint 3 Semana 4 2026-01-24 2026-01-24 1 P0 Pendiente AI Gate 5 CE-S4-005;CE-S2-015 AI Lead Score correlaciona &gt;0.85 evaluación experta Alto scripts/run_calibration.py</t>
  </si>
  <si>
    <t>CE-S4-008 Documentar Fórmula Score Auditoría Sprint 3 Semana 4 2026-01-24 2026-01-24 0,5 P0 Pendiente Documentation Gate 5 CE-S4-007 AI Lead scoring_methodology_v1.md pesos finales CTO aprueba Bajo docs/coherence_engine/scoring_methodology_v1.md</t>
  </si>
  <si>
    <t>CE-S4-009 Endpoints /projects/{id}/alerts Sprint 3 Semana 4 2026-01-22 2026-01-22 1 P0 Pendiente API Gate 4 CE-S2-001 Backend Lead List filtros/Get/Resolve incluye source_clause_id Bajo apps/api/src/routers/alerts.py</t>
  </si>
  <si>
    <t>CE-S4-010 Endpoints /projects/{id}/documents Sprint 3 Semana 4 2026-01-22 2026-01-22 1 P0 Pendiente API  CE-S2-001;CE-S3-006 Backend Lead Upload async status polling List/Get/Delete Bajo apps/api/src/routers/documents.py</t>
  </si>
  <si>
    <t>CE-S4-011 Script Rollback Automatizado Sprint 3 Semana 4 2026-01-21 2026-01-21 1 P0 Pendiente DevOps  Ninguna DevOps Rollback DB PITR + código git revert staging Medio scripts/rollback.sh</t>
  </si>
  <si>
    <t>CE-S4-012 Paginación Cursor-based Endpoints Sprint 3 Semana 4 2026-01-23 2026-01-23 1 P0 Pendiente API  CE-S3-008 Backend Lead Ningún endpoint &gt;100 items sin paginar Bajo apps/api/src/core/pagination.py</t>
  </si>
  <si>
    <t>CE-S4-013 Optimizar Queries SQL EXPLAIN Sprint 3 Semana 4 2026-01-24 2026-01-24 1 P1 Pendiente Performance  Ninguna Backend Lead Queries lentas optimizadas 0 queries &gt;100ms Medio docs/performance/sql_optimization.md</t>
  </si>
  <si>
    <t>CE-S4-014 Índices Adicionales Búsqueda Sprint 3 Semana 4 2026-01-24 2026-01-24 0,5 P1 Pendiente Database  CE-S4-013 Backend Lead Índices campos filtro queries búsqueda &lt;50ms Bajo infrastructure/supabase/migrations/007_indexes.sql</t>
  </si>
  <si>
    <t>CE-S4-015 Tests Integración Coherence Engine Sprint 3 Semana 4 2026-01-24 2026-01-24 1 P0 Pendiente Testing Gate 5 CE-S4-005;CE-S2-015 QA Lead Tests proyectos golden 10 reglas correctas Medio tests/integration/coherence/</t>
  </si>
  <si>
    <t>CE-S5-001 StakeholderExtractorAgent Sprint 4 Semana 5 2026-01-27 2026-01-29 3 P0 Pendiente AI Gate 5 CE-S4-001 AI Lead Extracción NLP nombres/roles &gt;80% accuracy golden Alto apps/api/src/agents/stakeholder_extractor.py</t>
  </si>
  <si>
    <t>CE-S5-002 StakeholderClassifier Power/Interest Sprint 4 Semana 5 2026-01-28 2026-01-28 1 P0 Pendiente AI Gate 5 CE-S5-001 AI Lead Cuadrante asignado automáticamente 4 cuadrantes Medio apps/api/src/services/stakeholder_classifier.py</t>
  </si>
  <si>
    <t>CE-S5-003 RACIGeneratorAgent Sprint 4 Semana 5 2026-01-29 2026-01-30 2 P0 Pendiente AI Gate 6 CE-S5-001;CE-S4-003 AI Lead Matriz RACI generada requires_review=True Alto apps/api/src/agents/raci_generator.py</t>
  </si>
  <si>
    <t>CE-S5-004 Human-in-Loop Workflow Backend Sprint 4 Semana 5 2026-01-27 2026-01-28 2 P0 Pendiente Backend Gate 6 CE-S2-001 Backend Lead Endpoint aprobar/rechazar outputs agentes Alto apps/api/src/routers/approvals.py</t>
  </si>
  <si>
    <t>CE-S5-005 Knowledge Graph Básico NetworkX Sprint 4 Semana 5 2026-01-30 2026-01-31 2 P1 Pendiente Backend Gate 4 CE-S4-003 Backend Lead Nodos + edges queries multi-hop funcionan Medio apps/api/src/services/knowledge_graph.py</t>
  </si>
  <si>
    <t>CE-S5-006 Prompt Extracción Cláusulas Optimizado Sprint 4 Semana 5 2026-01-27 2026-01-28 2 P0 Pendiente AI Gate 5 CE-S2-008 AI Lead &gt;85% accuracy tipo/código/texto golden dataset Alto prompts/v1/clause_extraction.md</t>
  </si>
  <si>
    <t>CE-S5-007 Prompt Clasificación Stakeholders Sprint 4 Semana 5 2026-01-29 2026-01-29 1 P0 Pendiente AI Gate 5 CE-S2-008 AI Lead &gt;80% accuracy clasificación poder/interés Medio prompts/v1/stakeholder_classification.md</t>
  </si>
  <si>
    <t>CE-S5-008 LlmRuleEvaluator Base Class Sprint 4 Semana 5 2026-01-28 2026-01-28 1 P0 Pendiente AI Gate 5 CE-S2-007 AI Lead Evaluador prompts reglas cualitativas interface Medio apps/api/src/coherence/llm_rule_evaluator.py</t>
  </si>
  <si>
    <t>CE-S5-009 Primera Regla LLM Cualitativa Sprint 4 Semana 5 2026-01-29 2026-01-30 2 P1 Pendiente AI Gate 5 CE-S5-008 AI Lead Regla detectar ambigüedades alcance evaluable Alto apps/api/src/coherence/rules/scope_ambiguity.py</t>
  </si>
  <si>
    <t>CE-S5-010 Endpoints /projects/{id}/stakeholders Sprint 4 Semana 5 2026-01-28 2026-01-28 1 P0 Pendiente API Gate 4 CE-S2-003 Backend Lead CRUD + clasificación source_clause_id Bajo apps/api/src/routers/stakeholders.py</t>
  </si>
  <si>
    <t>CE-S5-011 Endpoints /projects/{id}/raci Sprint 4 Semana 5 2026-01-29 2026-01-29 0,5 P0 Pendiente API Gate 6 CE-S2-003 Backend Lead Get matrix/Update human-in-loop flag Bajo apps/api/src/routers/raci.py</t>
  </si>
  <si>
    <t>CE-S5-012 Dashboard Observabilidad Básico Sprint 4 Semana 5 2026-01-27 2026-01-28 2 P0 Pendiente Frontend Gate 7 CE-S2-011 Frontend Lead Vista consumo tokens alertas automáticas budget Medio apps/web/src/pages/admin/observability.tsx</t>
  </si>
  <si>
    <t>CE-S5-013 Rate Limiting por Tenant Redis Sprint 4 Semana 5 2026-01-30 2026-01-30 1 P0 Pendiente Security Gate 7 CE-S2-004 Security Lead 60 req/min tenant 20 req/min user configurable Medio apps/api/src/middleware/rate_limiter.py</t>
  </si>
  <si>
    <t>CE-S5-014 Budget Alerts Email/Webhook Sprint 4 Semana 5 2026-01-31 2026-01-31 1 P0 Pendiente Backend Gate 7 CE-S4-002 Backend Lead Notificaciones admin 50/75/90/100% budget Medio apps/api/src/services/budget_alerts.py</t>
  </si>
  <si>
    <t>CE-S5-015 Tests Integración Stakeholder Flow Sprint 4 Semana 5 2026-01-31 2026-01-31 1 P0 Pendiente Testing Gate 5 CE-S5-001;CE-S5-003 QA Lead Extracción Clasificación RACI flujo completo Medio tests/integration/stakeholders/</t>
  </si>
  <si>
    <t>CE-S6-001 Vista Dashboard + Score Gauge Sprint 4 Semana 6 2026-02-02 2026-02-03 2 P0 Pendiente Frontend Gate 6 CE-S3-007 Frontend Lead Score 0-100 visual colores carga &lt;2s gauge animado Medio apps/web/src/pages/dashboard.tsx</t>
  </si>
  <si>
    <t>CE-S6-002 Vista Lista Proyectos Sprint 4 Semana 6 2026-02-02 2026-02-02 1 P0 Pendiente Frontend  CE-S3-008 Frontend Lead Filtros estado/búsqueda/orden paginación Bajo apps/web/src/pages/projects/index.tsx</t>
  </si>
  <si>
    <t>CE-S6-003 Evidence Viewer Links Cláusulas Sprint 4 Semana 6 2026-02-03 2026-02-04 2 P0 Pendiente Frontend Gate 4 CE-S4-009 Frontend Lead Click alerta cláusula WBS/BOM navegación bidireccional Alto apps/web/src/components/EvidenceViewer.tsx</t>
  </si>
  <si>
    <t>CE-S6-004 Panel Alertas Filtros Severidad Sprint 4 Semana 6 2026-02-04 2026-02-04 1 P0 Pendiente Frontend  CE-S6-003 Frontend Lead Vista alertas abiertas/resolved filtros bulk actions Bajo apps/web/src/pages/alerts.tsx</t>
  </si>
  <si>
    <t>CE-S6-005 Stakeholder Map Matriz Poder/Interés Sprint 4 Semana 6 2026-02-04 2026-02-05 2 P0 Pendiente Frontend Gate 6 CE-S5-010 Frontend Lead Visualización interactiva cuadrantes drag &amp; drop Medio apps/web/src/components/StakeholderMap.tsx</t>
  </si>
  <si>
    <t>CE-S6-006 RACI Viewer Editable Sprint 4 Semana 6 2026-02-05 2026-02-05 1 P0 Pendiente Frontend Gate 6 CE-S5-011 Frontend Lead Tabla WBS x Stakeholders RACI edición inline Medio apps/web/src/components/RACIViewer.tsx</t>
  </si>
  <si>
    <t>CE-S6-007 Modal Human-in-Loop Confirmación Sprint 4 Semana 6 2026-02-05 2026-02-05 0,5 P0 Pendiente Frontend Gate 6 CE-S5-004 Frontend Lead Confirmación aprobar/rechazar outputs IA workflow Medio apps/web/src/components/ApprovalModal.tsx</t>
  </si>
  <si>
    <t>CE-S6-008 Endpoints /projects/{id}/wbs y /bom Sprint 4 Semana 6 2026-02-02 2026-02-02 1 P0 Pendiente API Gate 4 CE-S2-003 Backend Lead CRUD WBS/BOM jerarquía WBS representada Bajo apps/api/src/routers/wbs.py</t>
  </si>
  <si>
    <t>CE-S6-009 Endpoint POST /projects/{id}/analyze Sprint 4 Semana 6 2026-02-03 2026-02-03 1 P0 Pendiente API  CE-S3-006 Backend Lead Trigger análisis async retorna job_id polling Bajo apps/api/src/routers/analysis.py</t>
  </si>
  <si>
    <t>CE-S6-010 Propagar clause_id a WBS Items Sprint 4 Semana 6 2026-02-02 2026-02-02 1 P0 Pendiente Backend Gate 4 CE-S3-005 Backend Lead funded_by_clause_id auto 100% WBS con FK Medio apps/api/src/services/wbs_service.py</t>
  </si>
  <si>
    <t>CE-S6-011 Propagar clause_id a BOM Items Sprint 4 Semana 6 2026-02-03 2026-02-03 1 P0 Pendiente Backend Gate 4 CE-S3-005 Backend Lead contract_clause_id auto 100% BOM con FK Medio apps/api/src/services/bom_service.py</t>
  </si>
  <si>
    <t>CE-S6-012 Evidence Viewer Logic Query Sprint 4 Semana 6 2026-02-04 2026-02-04 1 P0 Pendiente Backend Gate 4 CE-S6-010;CE-S6-011 Backend Lead Query reconstruye clause WBS BOM dado alert_id Medio apps/api/src/services/evidence_service.py</t>
  </si>
  <si>
    <t>CE-S6-013 Graph RAG Service Abstracción Sprint 4 Semana 6 2026-02-03 2026-02-04 2 P1 Pendiente Backend  CE-S5-005 Backend Lead Interface GraphStore impl NetworkX tests mock Medio apps/api/src/services/graph_store.py</t>
  </si>
  <si>
    <t>CE-S6-014 Circuit Breaker Claude API Sprint 4 Semana 6 2026-02-05 2026-02-05 1 P1 Pendiente Backend Gate 7 CE-S2-004 Backend Lead Retry backoff fallback caché API degradada ok Medio apps/api/src/ai/circuit_breaker.py</t>
  </si>
  <si>
    <t>CE-S6-015 Async Processing Parsing Background Sprint 4 Semana 6 2026-02-05 2026-02-05 1 P0 Pendiente Backend  CE-S3-006 Backend Lead Parsing background polling status upload inmediato Bajo apps/api/src/tasks/parsing_tasks.py</t>
  </si>
  <si>
    <t>CE-S7-001 Cifrado Documentos R2 AES-256 Sprint 5 Semana 7 2026-02-09 2026-02-09 1 P0 Pendiente Security Gate 8 Ninguna Security Lead Server-side encryption keys tenant docs cifrados Alto apps/api/src/storage/encryption.py</t>
  </si>
  <si>
    <t>CE-S7-002 Política Retención Soft Delete Sprint 5 Semana 7 2026-02-09 2026-02-09 1 P0 Pendiente Security Gate 8 Ninguna Security Lead Soft delete hard delete 30 días job limpieza Medio apps/api/src/tasks/retention_job.py</t>
  </si>
  <si>
    <t>CE-S7-003 Auto-block Degradación Graceful Sprint 5 Semana 7 2026-02-10 2026-02-10 1 P0 Pendiente Backend Gate 7 CE-S4-002 Backend Lead Bloquear LLM 100% budget sistema sigue sin IA Alto apps/api/src/ai/budget_blocker.py</t>
  </si>
  <si>
    <t>CE-S7-004 Optimizar Prompts Reducir Tokens Sprint 5 Semana 7 2026-02-10 2026-02-11 2 P1 Pendiente AI Gate 7 CE-S2-008 AI Lead Few-shot reducido 20% reducción tokens promedio Medio prompts/v1/</t>
  </si>
  <si>
    <t>CE-S7-005 Dashboard Costes por Proyecto Sprint 5 Semana 7 2026-02-11 2026-02-11 1 P1 Pendiente Frontend Gate 7 CE-S5-012 Frontend Lead Breakdown costes operación/modelo coste real-time Bajo apps/web/src/components/CostDashboard.tsx</t>
  </si>
  <si>
    <t>CE-S7-006 Batch Processing Múltiples Docs Sprint 5 Semana 7 2026-02-11 2026-02-11 1 P1 Pendiente Backend Gate 7 CE-S3-006 Backend Lead 3 docs &lt;3x individual descuento contexto Medio apps/api/src/tasks/batch_processing.py</t>
  </si>
  <si>
    <t>CE-S7-007 Prompt Generación RACI Sprint 5 Semana 7 2026-02-10 2026-02-10 1 P1 Pendiente AI Gate 5 CE-S2-008 AI Lead Mapeo stakeholder WBS razonamiento RACI coherente Medio prompts/v1/raci_generation.md</t>
  </si>
  <si>
    <t>CE-S7-008 A/B Testing Prompts Framework Sprint 5 Semana 7 2026-02-12 2026-02-12 1 P2 Pendiente AI  CE-S2-008 AI Lead Framework comparar versiones métricas auto Bajo apps/api/src/ai/ab_testing.py</t>
  </si>
  <si>
    <t>En el desarrollo de software robusto, el principio "Fail Fast" (Fallar Rápido) es vital. No queremos intentar parsear un archivo de 50MB para darnos cuenta en la línea 10,000 que es un PDF renombrado o un Excel corrupto. Validaremos la "firma" del archivo antes de procesarlo.
Aquí tienes el prompt refinado para incluir esta validación estructural.
📝 Actividad: CE-S3-003 (Refinada con Validación)
Nombre: Parser BC3 con Validación de Estructura (Magic Bytes) Dominio: Backend / Ingestion Story Points: 3 Dependencias: apps/api/src/schemas/budget.py
🚀 Prompt Optimizado
Contexto: Estamos desarrollando el Bc3Parser para C2Pro. Dado que los usuarios pueden subir archivos erróneos (ej. un CSV renombrado a .bc3) o corruptos, no podemos pasar el archivo ciegamente a la librería pyfiebdc. Esto podría generar errores oscuros o problemas de memoria. Necesitamos implementar un paso de Pre-validación que verifique la firma del archivo (Magic Bytes/Header) según el estándar FIEBDC-3 antes de intentar procesar sus miles de líneas.
Rol: Actúa como un Backend Developer enfocado en la resiliencia y manejo de errores.
Tarea: Modificar la clase Bc3Parser en apps/api/src/parsers/bc3_parser.py para incluir validación de cabecera.
Requisitos Técnicos:
Método de Validación (_validate_header):
Antes de parsear, lee las primeras líneas del contenido decodificado.
Regla FIEBDC: Un archivo válido DEBE comenzar obligatoriamente con el registro de versión ~V seguido de una barra vertical |.
Ejemplo válido: ~V|2016|...
Si el archivo no empieza con ~V, lanza una excepción personalizada InvalidFileFormatException con el mensaje: "El archivo no es un formato FIEBDC-3 válido (Falta cabecera ~V)."
Integración con Detección de Encoding:
Usa esta validación como prueba de fuego para la codificación.
Si al decodificar con utf-8 la cabecera no se lee como ~V, captura el error y prueba con cp1252.
Solo si la cabecera es legible y válida en el encoding seleccionado, procede al parseo completo.
Parser Resiliente:
Utiliza pyfiebdc solo después de pasar la validación.
Asegúrate de capturar excepciones genéricas de la librería y envolverlas en AppException para que el frontend reciba un mensaje amigable ("Error al procesar el presupuesto") y no un "Internal Server Error" con un stack trace de Python.
Entregable:  actualizado de la clase Bc3Parser que incluye el método privado _validate_header y la lógica de reintento de encoding basada en la validación de la firma.</t>
  </si>
  <si>
    <t>Esta actividad es el "pegamento" que une la seguridad con la inteligencia. De nada sirve tener un servicio de anonimización si el programador olvida llamarlo antes de invocar a la IA.
Vamos a modificar el AnthropicWrapper para que la anonimización sea automática y obligatoria. Esto implementa el patrón de "Interceptor de Seguridad": el dato entra, se limpia, viaja a la nube, vuelve, y se restaura.
📝 Actividad: CE-S3-005
Nombre: Secure AI Client Integration (Auto-Anonymization) Dominio: AI / Security Story Points: 3 Dependencias: CE-S2-007 (Anthropic Client), CE-S3-004 (Anonymizer Service) Gate: Gate 8 (Data Leakage Prevention)
🚀 Prompt Optimizado
Contexto: Hemos desarrollado el PiiAnonymizerService (CE-S3-004) para cumplir con GDPR. Ahora debemos integrar este servicio dentro de nuestro cliente de IA (AnthropicWrapper). El objetivo es que ninguna llamada a la IA salga de nuestra API sin pasar por el filtro de privacidad, y que esta lógica sea transparente para los desarrolladores que usan el wrapper. El flujo debe ser:
Interceptar Prompt: El wrapper recibe el texto crudo.
Anonimizar: Llamar al anonymizer_service. Obtener text_safe y deanonymization_map.
Invocar Claude: Enviar text_safe.
Restaurar Respuesta: Cuando Claude responda (usando tokens como &lt;PERSON_1&gt;), utilizar el mapa para reemplazar esos tokens por los nombres reales antes de devolver el resultado final al sistema.
Rol: Actúa como un Senior AI Engineer enfocado en la arquitectura de "Privacy-Preserving AI".
Tarea: Actualizar la clase AnthropicWrapper en apps/api/src/services/ai/anthropic_client.py.
Requisitos Técnicos:
Inyección de Dependencia:
El AnthropicWrapper debe recibir una instancia de PiiAnonymizerService en su constructor (__init__).
Pipeline de Ejecución (generate method):
Paso 1 (Sanitización): Antes de construir el payload para la API, pasa el user_prompt y system_prompt por el anonimizador.
Paso 2 (Llamada): Envía los textos anonimizados a Anthropic.
Paso 3 (Rehidratación/Deanonymization):
La respuesta de Claude contendrá tokens (ej: "El responsable es &lt;PERSON_1&gt;").
Utiliza el deanonymization_map generado en el Paso 1 para hacer un "Find &amp; Replace" inverso en la respuesta de Claude.
De esta forma, el usuario final ve: "El responsable es Juan Pérez".
Manejo de Contexto JSON:
Si el prompt incluye JSON (ej. lista de cláusulas), el anonimizador debe ser lo suficientemente inteligente para procesar solo los valores de los strings, o (para esta iteración) asumir que se le pasa el texto completo serializado.
Nota: Para simplificar, asume que el input principal es texto.
Audit Logs:
El wrapper debe loguear (a nivel INFO o en una tabla de auditoría) que se realizó una anonimización, guardando quizás el número de entidades ofuscadas, pero NUNCA guardando el mapa de nombres reales en los logs de texto plano.
Entregable: actualizado de la clase AnthropicWrapper, mostrando claramente el bloque try/finally o el flujo secuencial de anonimización y desanonimización.</t>
  </si>
  <si>
    <t>Esta es una actividad de infraestructura fundamental. Sin ella, cuando un usuario suba un PDF de 200 páginas, la API se quedará "colgada" esperando al parser y al OCR, y el navegador dará timeout (Error 504) a los 30-60 segundos.
Necesitamos desacoplar la Recepción (HTTP Request) del Procesamiento (Heavy Lifting).
Aquí tienes el prompt optimizado para un DevOps/Backend Engineer.
📝 Actividad: CE-S3-006
Nombre: Task Queue Implementation (Celery + Redis) Dominio: Infrastructure / Backend Story Points: 2 Dependencias: CE-S2-004 (Docker/Env Setup) Prioridad: P0 (Crítico para UX y Estabilidad) Objetivo: Procesamiento asíncrono de documentos grandes (Non-blocking API).
🚀 Prompt Optimizado
Contexto: Estamos desarrollando el backend de C2Pro. Nuestros servicios de parsing (PDF/BC3) y los agentes de IA (Coherence Engine) son operaciones pesadas que pueden tardar desde 10 segundos hasta varios minutos por documento. Si ejecutamos esto en el hilo principal de FastAPI, bloquearemos el servidor y el cliente sufrirá timeouts. Necesitamos implementar una Cola de Tareas Asíncronas usando Celery con Redis como Broker y Backend de resultados. El flujo deseado es: El usuario sube el archivo -&gt; La API guarda en disco/S3 -&gt; La API encola la tarea -&gt; La API responde inmediatamente 202 Accepted con un task_id.
Rol: Actúa como un Senior Backend Engineer experto en Python Concurrency y Sistemas Distribuidos.
Tarea: Configurar la infraestructura de Celery en apps/api/src/core/celery_app.py y crear las primeras tareas en apps/api/src/tasks/.
Requisitos Técnicos:
Configuración Celery (celery_app.py):
Configura la instancia Celery apuntando a Redis (redis://...) usando variables de entorno (REDIS_URL).
Asegura que la configuración de serialización sea segura (preferiblemente json).
Define la estructura de rutas para autodiscovery de tareas (include=['apps.api.src.tasks.ingestion_tasks']).
Definición de Tarea (ingestion_tasks.py):
Crea una tarea de ejemplo process_document_async(document_id: str).
Importante: La tarea NO debe recibir el archivo binario completo como argumento (anti-patrón de Celery). Debe recibir solo el ID (document_id).
Dentro de la tarea:
Recuperar el registro del documento de la BD (Simulado o real).
Invocar al PdfParserService (que ya creamos).
Actualizar el estado del documento en BD a PARSED o ERROR.
Manejo de Errores y Retries:
Configura autoretry_for=(Exception,) con un backoff exponencial simple. Si el parser falla por algo transitorio, debe reintentar.
Integración Docker (Instrucciones):
Incluye un comentario sobre cómo debe ser el comando para levantar el worker: celery -A apps.api.src.core.celery_app worker --loglevel=info.
Entregable: Código Python para celery_app.py y un módulo ingestion_tasks.py con la lógica de orquestación básica</t>
  </si>
  <si>
    <t>Esta actividad es corta (0.5 SP) pero vital: es el punto de entrega del valor generado en todo el Sprint 3. De nada sirve tener un motor de cálculo complejo si el Frontend no puede pintar el "Gauge Chart" (Medidor de velocidad) que pide el diseño.
Aquí tienes el prompt para un Backend Lead, enfocado en la definición estricta de la interfaz (API Contract).
📝 Actividad: CE-S3-007
Nombre: Endpoint GET /projects/{id}/coherence-score Dominio: Backend / API Story Points: 0.5 (Quick Win) Dependencias: CE-S2-001 (Schemas), S3.8 (Score Calculation Logic) Prioridad: P0 (Bloqueante para Frontend)
🚀 Prompt Optimizado
Contexto: Estamos exponiendo los datos del Motor de Coherencia al Frontend. Necesitamos un endpoint REST eficiente que devuelva el Coherence Score actual de un proyecto. Este endpoint será consumido por el componente "Dashboard Widget" en la pantalla principal. Debe ser rápido y devolver una estructura de datos validada para evitar errores de renderizado en React.
Rol: Actúa como un Backend Lead experto en FastAPI y diseño de APIs RESTful.
Tarea: Implementar el endpoint en apps/api/src/routers/projects.py.
Requisitos Técnicos:
Definición de Ruta:
Verbo: GET
Path: /projects/{project_id}/coherence-score
Tags: ['Projects', 'Coherence']
Response Model (Contract First):
Define (o importa) el esquema CoherenceScoreResponse con:
project_id: UUID.
score: int (0-100).
calculated_at: datetime.
breakdown: Objeto con el conteo de alertas (critical, high, medium, low).
top_drivers: Lista de las 3 reglas principales que bajaron la nota (para el tooltip del UI).
Lógica del Controlador:
Inyecta el servicio CoherenceService (o ScoreRepository).
Busca el último score calculado para ese project_id.
Manejo de Estados:
Si el proyecto no existe -&gt; 404 Not Found.
Si el proyecto existe pero no tiene score calculado (recién creado) -&gt; Devuelve un objeto por defecto con score: null o score: 0 y estado pending, en lugar de un error 404, para que el frontend muestre "Calculando...".
Documentación:
Añade docstrings para que aparezcan en Swagger/OpenAPI explicando qué significa el score.
Entregable: router endpoint incluyendo los imports y el modelo Pydantic de respuesta.</t>
  </si>
  <si>
    <t>Esta es una actividad "de libro" (Standard Boilerplate), pero como Backend Lead, sabes que el diablo está en los detalles: paginación, filtrado por Tenant (seguridad) y manejo de errores.
No queremos un CRUD simple que exponga todos los proyectos de la base de datos; queremos un CRUD seguro donde el Usuario A solo vea los proyectos de la Empresa A.
Aquí tienes el prompt optimizado.
📝 Actividad: CE-S3-008
Nombre: Endpoints CRUD /projects (Full Lifecycle) Dominio: Backend / API Story Points: 1 (Baja complejidad, alta importancia) Dependencias: CE-S2-001 (Schemas), S0.2 (DB Setup) Prioridad: P0 (Core Feature)
🚀 Prompt Optimizado
Contexto: Estamos implementando la gestión básica de la entidad Project. Necesitamos los 5 endpoints estándar REST (CRUD) en apps/api/src/routers/projects.py. Aunque la lógica parece simple, el requisito crítico aquí es el Aislamiento Multi-tenant. Ninguna consulta debe hacerse sin filtrar por tenant_id (obtenido del usuario autenticado). Además, para garantizar la calidad desde el día 1, requerimos tests de integración inmediatos.
Rol: Actúa como un Backend Lead que prioriza el código limpio y la arquitectura en capas (Router -&gt; Service/Repo -&gt; DB).
Tarea:
Implementar el router projects.py.
Crear el test de integración tests/routers/test_projects.py.
Requisitos Técnicos (Router):
Endpoints:
GET / (List): Debe incluir Paginación (skip, limit) para no saturar el frontend.
POST / (Create): Recibe ProjectCreate. Asigna automáticamente el tenant_id y created_by del usuario actual. Inicializa el status en 'DRAFT'.
GET /{id} (Read): Valida que el proyecto exista Y pertenezca al tenant. Si no, 404.
PATCH /{id} (Update): Actualización parcial.
DELETE /{id} (Delete): Borrado físico (o lógico si tenemos columna is_deleted).
Seguridad (Inyección de Dependencias):
Usa CurrentActiveUser para obtener el contexto de seguridad.
NUNCA confíes en un tenant_id que venga en el body del request. Sobrescríbelo siempre con el del token del usuario.
Schemas (Pydantic):
Usa estrictamente los esquemas definidos en apps/api/src/schemas/project.py (ProjectRead, ProjectCreate, ProjectUpdate).
Requisitos Técnicos (Tests - Pytest + HTTPX):
Test de Creación: Verificar que al crear un proyecto, devuelve 201 y los datos coinciden.
Test de Aislamiento:
Crear Proyecto X con Usuario A (Tenant A).
Intentar leer Proyecto X con Usuario B (Tenant B).
Assert: Debe devolver 404 Not Found (no 403, para no revelar existencia).
Entregable: router y del archivo de tests correspondiente.</t>
  </si>
  <si>
    <t>Esta actividad es bloqueante para la Gate 8 (Security Compliance). Si dejamos una sola API Key en el código (git push), tendremos que rotar todas las credenciales inmediatamente.
El objetivo es configurar los GitHub Secrets y actualizar los Workflows para que inyecten estas variables de entorno de forma segura durante el Build o el Deploy, garantizando que el código fuente sea agnóstico al entorno.
📝 Actividad: CE-S3-010
Nombre: Secrets Management &amp; GitHub Actions Security Dominio: DevOps / Security Story Points: 1 Gate: Gate 8 (Zero Secrets in Code) Prioridad: P0 (Critico)
🚀 Prompt Optimizado
Contexto: Estamos configurando el pipeline de CI/CD para C2Pro. Hasta ahora, hemos trabajado con un archivo .env local. Al pasar a GitHub Actions para los tests y el despliegue, está estrictamente prohibido subir el archivo .env al repositorio. Necesitamos configurar los GitHub Organization/Repository Secrets y modificar nuestros archivos YAML (.github/workflows/) para que lean estos secretos y los inyecten como variables de entorno en los contenedores o scripts de prueba. Debemos separar claramente los entornos (por ahora DEV y CI), asegurando que los tests no corran contra la base de datos de producción.
Rol: Actúa como un DevSecOps Engineer experto en GitHub Actions y gestión de secretos.
Tarea:
Documentar la lista de secretos requeridos.
Actualizar el workflow .github/workflows/ci.yml (o test.yml) para consumir estos secretos.
Requisitos Técnicos:
Inventario de Secretos (Documentation):
Genera una lista (Markdown) de las claves que deben configurarse en GitHub:
SUPABASE_URL
SUPABASE_SERVICE_ROLE_KEY (Solo para scripts admin/migraciones)
SUPABASE_ANON_KEY (Para cliente web)
ANTHROPIC_API_KEY
POSTGRES_DB_URL (Connection string completa)
REDIS_URL
Inyección en Workflow (ci.yml):
Modifica el paso de tests (Run Tests) para mapear los secretos a variables de entorno (env: context).
Ejemplo:
YAML
- name: Run Pytest
  env:
    DATABASE_URL: ${{ secrets.DATABASE_URL }}
    ANTHROPIC_API_KEY: ${{ secrets.ANTHROPIC_API_KEY }}
  run: |
    poetry run pytest
Seguridad de Logs:
Asegúrate de que GitHub Actions oculte automáticamente estos valores en los logs (GitHub lo hace por defecto para secrets.*, pero verifica que no estemos haciendo echo $VAR explícitamente).
Gitignore Audit:
Verifica que el archivo .gitignore raíz incluya explícitamente:
.env
.env.* (excepto .env.example)
credentials.json
Entregable:
El archivo .github/workflows/ci.yml actualizado.
Un archivo SECRETS.md (template) listando qué llaves se necesitan, para que el equipo sepa qué configurar en el panel de GitHub.</t>
  </si>
  <si>
    <t>Esta actividad es fundamental para la Observabilidad. Sin estos endpoints, Kubernetes (o tu servicio de Cloud) no sabe si tu contenedor está "vivo" pero "zombie" (proceso corriendo pero desconectado de la base de datos).
Distinguiremos entre Liveness (¿El proceso existe?) y Readiness (¿Puede aceptar tráfico?). Esto evita que el balanceador de carga envíe usuarios a un contenedor que aún está arrancando o que ha perdido la conexión con Redis.
Aquí tienes el prompt optimizado para un DevOps/SRE.
📝 Actividad: CE-S3-009
Nombre: Health Check Endpoints (Liveness &amp; Readiness Probes) Dominio: DevOps / Backend Story Points: 0.5 (Quick Win) Dependencias: Ninguna (Core Infrastructure) Prioridad: P0 (Gate de Despliegue)
🚀 Prompt Optimizado
Contexto: Necesitamos instrumentar la API de C2Pro para el monitoreo automático. Plataformas como Kubernetes, AWS ECS o UptimeRobot necesitan saber el estado de la aplicación. No basta con devolver un 200 OK estático. Debemos implementar el patrón Probes estándar de la industria:
Liveness: "No me reinicies, sigo vivo" (El proceso Python corre).
Readiness: "Envíame tráfico, estoy listo" (Tengo conexión a DB y Redis).
Rol: Actúa como un Site Reliability Engineer (SRE) experto en Observabilidad y FastAPI.
Tarea: Crear el módulo apps/api/src/routers/health.py.
Requisitos Técnicos:
Endpoint /health/live (Liveness):
Lógica: Retornar {"status": "ok"} inmediatamente.
Uso: Kubernetes lo usa para saber si debe reiniciar el pod.
NO comprobar base de datos aquí (si la DB cae, reiniciar la API no lo soluciona y crea bucles de reinicio).
Endpoint /health/ready (Readiness):
Lógica:
Hacer un ping real a PostgreSQL (ej. SELECT 1).
Hacer un ping real a Redis (si está configurado).
Respuesta:
Si todo OK -&gt; 200 OK con {"database": "up", "redis": "up"}.
Si falla algo -&gt; 503 Service Unavailable con detalle del fallo.
Uso: El Load Balancer lo usa para dejar de enviar tráfico si perdemos dependencias.
Endpoint /health (Alias para UptimeRobot):
Puede apuntar a /ready o ser una versión simplificada que retorne versión del sistema y uptime.
Performance:
Estos endpoints serán llamados cada 5-10 segundos. Deben ser extremadamente ligeros. Usa timeouts cortos (1s) para las comprobaciones de DB.
Entregable: router con las comprobaciones de conectividad asíncronas (await db.execute("SELECT 1")).</t>
  </si>
  <si>
    <t>Con la infraestructura lista (Health Checks) y la maquinaria pesada preparada (Celery Task Queue), es hora de abrir la puerta principal.
El Endpoint de Subida de Documentos es el punto donde todo comienza. Aquí recibimos el archivo, validamos que no sea malicioso o demasiado grande, lo guardamos y le pasamos la "patata caliente" a la cola de tareas para no bloquear al usuario.
📝 Actividad: CE-S3-010
Nombre: Document Upload Endpoint (Async Trigger) Dominio: Backend / API Story Points: 2 Dependencias: CE-S3-006 (Task Queue), CE-S0.2 (DB Tables) Prioridad: P0 (Core Feature)
🚀 Prompt Optimizado
Contexto: Estamos implementando la funcionalidad de carga de archivos en C2Pro. Necesitamos un endpoint en apps/api/src/routers/documents.py que permita subir contratos (PDF), presupuestos (Excel/BC3) y cronogramas. Este endpoint NO debe procesar el archivo. Su única responsabilidad es:
Validar el archivo (Seguridad).
Guardarlo en disco (o S3).
Registrarlo en BD.
Disparar la tarea asíncrona de Celery (ingestion_tasks.py).
Responder rápido al usuario ("Archivo recibido, procesando...").
Rol: Actúa como un Backend Lead obsesionado con la validación de inputs y la experiencia de usuario asíncrona.
Tarea: Implementar el endpoint POST /projects/{project_id}/documents.
Requisitos Técnicos:
Validación de Entrada (Gate 4):
Magic Numbers: No confíes en la extensión del archivo (.pdf). Usa python-magic o similar para validar el MIME type real (application/pdf, application/vnd.openxmlformats...).
Tamaño Máximo: Limita la subida a 50MB. Si excede, devuelve 413 Request Entity Too Large.
Extensiones Permitidas: .pdf, .xlsx, .bc3, .xer (Primavera), .mpp (Project).
Gestión de Almacenamiento:
Guarda el archivo en una ruta temporal segura o Bucket S3 (usa una interfaz StorageService para desacoplar).
Genera un nombre único (UUID) para evitar colisiones si dos usuarios suben "contrato.pdf".
Base de Datos:
Crea un registro en la tabla documents:
project_id: (Path param)
filename: Nombre original.
storage_path: Ruta guardada.
status: 'QUEUED' (Estado inicial).
uploaded_by: ID del usuario actual.
Trigger Asíncrono:
Importa la tarea process_document_async (definida en CE-S3-006).
Ejecuta: task = process_document_async.delay(document_id=new_doc.id).
Respuesta:
Código: 202 Accepted (Indica que el proceso ha comenzado pero no terminado).
Body: Objeto DocumentRead con el estado 'QUEUED' y el task_id (opcional, para polling).
Entregable:  router completo, incluyendo la inyección de dependencias para el servicio de almacenamiento y la sesión de base de datos.</t>
  </si>
  <si>
    <t>Esta es la pieza complementaria a la subida. Como el procesamiento es asíncrono, el Frontend necesita una forma de "preguntar" repetidamente: "¿Ya está listo? ¿Y ahora? ¿Y ahora?".
Este endpoint soporta el patrón de Polling (o Long-Polling/Websockets en el futuro). Por ahora, un GET simple es suficiente para que el usuario vea cómo la barra de progreso avanza de "Subiendo" a "Analizando" y finalmente "Completado".
📝 Actividad: CE-S3-011
Nombre: Document List Endpoint (Status Polling) Dominio: Backend / API Story Points: 1 Dependencias: CE-S3-010 (Upload Endpoint), CE-S2-001 (Schemas) Prioridad: P0 (Core UX)
🚀 Prompt Optimizado
Contexto: Hemos implementado la subida asíncrona. Ahora el Frontend necesita listar los documentos de un proyecto para mostrar su estado (status). Dado que el parsing de un PDF puede tardar 2 minutos, el Frontend llamará a este endpoint cada 5-10 segundos (Polling) para actualizar la UI. Necesitamos que esta consulta sea muy rápida y eficiente. Además, debe respetar estrictamente el Aislamiento de Datos: Un usuario nunca puede ver documentos de un proyecto que no pertenece a su Tenant.
Rol: Actúa como un Backend Developer enfocado en eficiencia de bases de datos y seguridad API.
Tarea: Implementar el endpoint GET /projects/{project_id}/documents en apps/api/src/routers/documents.py.
Requisitos Técnicos:
Query Eficiente:
Filtrar por project_id (parámetro de ruta).
Ordenamiento: Descendente por created_at (los más recientes primero).
Selección de Campos: Solo devolver lo necesario para la lista (ID, nombre, estado, fecha, tamaño). No devuelvas el contenido binario ni el texto extraído completo (eso iría en un endpoint de detalle separado) para no hacer pesada la respuesta.
Esquema de Respuesta (DocumentListResponse):
Lista de objetos con:
id: UUID.
filename: str.
status: Enum (QUEUED, PROCESSING, PARSED, ERROR).
error_message: str (Opcional, solo si falló, para mostrar "Error: PDF encriptado" en rojo).
uploaded_at: datetime.
file_size_bytes: int.
Seguridad (Gate 1):
Antes de consultar la tabla documents, verifica que el project_id existe Y pertenece al tenant_id del usuario actual. Si no, devuelve 404.
Optimizaciones:
Añade soporte básico para paginación (skip, limit) aunque por defecto devuelva los últimos 20.
Entregable: l endpoint list_project_documents.</t>
  </si>
  <si>
    <t>Esta actividad consolida la gestión de documentos en una sola pieza de infraestructura API. Combina la Subida Asíncrona (que dispara a Celery), el Listado (que sirve para el Polling de estado) y el Borrado (limpieza).
Es el controlador central que orquesta el flujo de entrada de datos.
📝 Actividad: CE-S4-010
Nombre: Endpoints /projects/{id}/documents (Full CRUD + Async Upload) Dominio: Backend / API Story Points: 1 Dependencias: CE-S2-001 (Schemas), CE-S3-006 (Celery Tasks) Prioridad: P0 (Core Feature)
🚀 Prompt Optimizado
Contexto: Necesitamos implementar el router apps/api/src/routers/documents.py que gestionará el ciclo de vida de los archivos en C2Pro. Este router es crítico porque maneja operaciones pesadas (Uploads) y operaciones frecuentes (Polling de estado). Debemos integrar la Cola de Tareas (Celery) que configuramos previamente: la API no procesa el archivo, solo lo recibe y avisa al worker.
Rol: Actúa como un Backend Lead experto en FastAPI y patrones asíncronos.
Tarea: Implementar los endpoints de gestión de documentos.
Requisitos Técnicos:
Endpoint de Subida (POST /projects/{project_id}/documents):
Input: Multipart/form-data (archivo) + project_id.
Validación:
Verificar que el project_id pertenece al tenant del usuario.
Validar extensión (.pdf, .xlsx, .bc3) y tamaño (&lt;50MB).
Persistencia:
Guardar el archivo físicamente en disco (/tmp/uploads/... o S3 mockeado).
Crear registro en BD con estado QUEUED.
Async Trigger:
Importar la tarea process_document_async (de apps/api/src/tasks/ingestion_tasks).
Ejecutar: process_document_async.delay(document_id).
Response: 202 Accepted con el objeto documento (incluyendo id y status).
Endpoint de Listado/Polling (GET /projects/{project_id}/documents):
Este endpoint será llamado cada pocos segundos por el frontend para actualizar la barra de progreso.
Eficiencia: Debe ser rápido. Solo devolver metadatos (ID, nombre, size, status, error_message, created_at).
Orden: Descendente por fecha de creación.
Endpoint de Descarga/Lectura (GET /documents/{document_id}):
Verificar permisos de Tenant.
Retornar los detalles del documento. (Opcional: URL de descarga firmada si usáramos S3 real, o FileResponse si es local).
Endpoint de Borrado (DELETE /documents/{document_id}):
Limpieza Completa:
Eliminar registro de la BD.
Eliminar archivo físico del disco (para no dejar basura).
(Opcional) Si hay una tarea de Celery corriendo para este ID, intentar cancelarla (avanzado, opcional para este MVP).
Seguridad:
Inyectar siempre la dependencia de CurrentActiveUser para validar el aislamiento de datos (Tenant Isolation).
Entregable: Código Python completo del archivo documents.py con los 4 endpoints y la integración correcta con Celery.</t>
  </si>
  <si>
    <t>Esta actividad es tu botón de pánico.
En el mundo DevOps, "desplegar es humano, revertir es divino". Cuando una migración bloquea la base de datos o un bug crítico rompe el login en producción a las 3 AM, no puedes ponerte a investigar. Necesitas un script que, en un solo comando, devuelva el sistema al estado estable anterior.
Aquí tienes el prompt optimizado para un DevOps Engineer.
📝 Actividad: CE-S4-011
Nombre: Script Rollback Automatizado (Code + DB) Dominio: DevOps / Infrastructure Story Points: 1 Dependencias: Setup de Base de Datos y Git Prioridad: P0 (Critical Safety Net)
🚀 Prompt Optimizado
Contexto: Estamos configurando las redes de seguridad para el despliegue de C2Pro. Si un despliegue falla en Staging o Producción, necesitamos volver atrás rápidamente. Esto implica dos dimensiones:
Código: Revertir la versión de la imagen Docker o hacer checkout del commit anterior.
Datos: Si hubo una migración de esquema fallida, necesitamos restaurar la base de datos a su estado previo (Snapshot/Dump pre-deploy) o ejecutar el script de down migration. Necesitamos un script en Bash (scripts/rollback.sh) que orqueste esto.
Rol: Actúa como un Site Reliability Engineer (SRE) experto en Bash scripting y recuperación de desastres.
Tarea: Crear el script scripts/rollback.sh.
Requisitos Técnicos:
Argumentos de Entrada:
El script debe aceptar flags como:
--target-commit &lt;sha&gt;: El commit hash al que queremos volver.
--db-snapshot &lt;path/url&gt;: El archivo de backup sql a restaurar (opcional).
--environment &lt;dev|staging|prod&gt;: Para cargar las variables correctas.
--force: Para saltar confirmaciones manuales (uso en CI/CD).
Lógica de Rollback de Código:
Debe ejecutar comandos de git para volver al estado deseado (ej. git checkout $TARGET_COMMIT).
Debe reconstruir o reiniciar los contenedores Docker (docker-compose up -d --build).
Lógica de Rollback de Base de Datos (Crítico):
Estrategia: Dado que estamos usando Supabase/Postgres, implementa una restauración usando psql o pg_restore.
Debe advertir claramente: "ADVERTENCIA: Restaurar la BD borrará cualquier dato creado después del snapshot."
Si no se provee snapshot, el script debería intentar ejecutar migraciones inversas (si usamos un framework de migraciones como Alembic/Supabase CLI) o simplemente avisar de que la DB se queda tal cual.
Logging y Notificación:
Cada paso debe imprimir un timestamp y estado.
Si falla, debe salir con exit 1.
Safety Check:
A menos que se pase el flag --force, el script debe pausar y pedir al usuario que escriba "CONFIRM" antes de tocar la base de datos.
Entregable: Código Bash completo del archivo rollback.sh, con permisos de ejecución (chmod +x) y comentarios explicando cómo usarlo en una emergencia.</t>
  </si>
  <si>
    <t>Esta actividad es una decisión de arquitectura crítica para la Escalabilidad.La paginación tradicional (OFFSET 1000 LIMIT 20) mata el rendimiento de la base de datos cuando tienes millones de registros, porque el motor SQL tiene que leer y descartar 1000 filas antes de devolverte las 20 que quieres.La Paginación por Cursor (WHERE id &lt; last_seen_id LIMIT 20) es instantánea ($O(1)$), sin importar el tamaño de la tabla. Es el estándar para "Infinite Scrolls" (como Twitter/X o Instagram) y logs de sistemas.📝 Actividad: CE-S4-012Nombre: Paginación Cursor-based (Core Utility)Dominio: Backend / API ArchitectureStory Points: 1Dependencias: Ninguna (Core Lib)Prioridad: P0 (Performance Guardrail)🚀 Prompt OptimizadoContexto:Estamos estandarizando cómo la API devuelve listas largas (Proyectos, Alertas, Documentos).Queremos evitar el antipatrón de enviar limit y offset numéricos, ya que degradan el rendimiento con datasets grandes.Implementaremos una utilidad genérica de Paginación por Cursor en apps/api/src/core/pagination.py.El cliente enviará un token opaco (cursor) que representa el último elemento que vio, y la API devolverá la siguiente página a partir de ahí.Rol:Actúa como un Backend Architect experto en optimización SQL y diseño de APIs.Tarea:Implementar la lógica de paginación reutilizable.Requisitos Técnicos:Esquema Genérico (Page[T]):Define una clase genérica usando Pydantic Generics que envuelva cualquier lista de resultados.Campos:items: List[T] (Los datos).next_cursor: str | None (Token base64 para la siguiente página).has_more: bool.Lógica de Cursor (Encoding/Decoding):El cursor debe ser un string codificado en Base64 que contenga el valor de ordenamiento del último ítem (ej. 2024-01-23T10:00:00|uuid-1234).Esto oculta la implementación al frontend.Función paginate (SQLAlchemy):Crear una función paginate(query, cursor: str, limit: int).Decodificación: Si llega un cursor, decodifícalo.Filtrado Eficiente: Aplica un filtro WHERE usando lógica de tuplas o comparación simple dependiendo de la columna de ordenamiento.Ejemplo: Si ordenamos por fecha descendente: WHERE (created_at, id) &lt; (cursor_date, cursor_id).Fetch: Pide limit + 1 elementos a la BD.Cálculo Next:Si obtuviste limit + 1, significa que has_more = True. Elimina el elemento extra y usa el último de la lista real para generar el next_cursor.Seguridad:Maneja excepciones de binascii.Error (Base64 inválido) devolviendo un error 400 limpio ("Invalid Cursor").Entregable:Código Python del módulo pagination.py listo para ser importado en los routers de projects, alerts y documents.</t>
  </si>
  <si>
    <t>Esta actividad es el "Tune-Up" final antes de entregar el coche.
Un código Python eficiente no sirve de nada si la base de datos está haciendo un "Full Table Scan" (leyendo millón de filas una por una) para encontrar un solo documento. Como Backend Lead, sabes que los ORMs (como SQLAlchemy) son cómodos pero peligrosos: ocultan la complejidad y a veces generan queries ineficientes.
El objetivo es usar EXPLAIN ANALYZE para ver "las entrañas" de nuestras consultas y aplicar índices quirúrgicos.
📝 Actividad: CE-S4-013
Nombre: Optimizar Queries SQL (Audit &amp; Indexing) Dominio: Backend / Performance Story Points: 1 Dependencias: Endpoints creados en S3 (Projects, Docs, Alerts) Prioridad: P1 (Performance Tuning)
🚀 Prompt Optimizado
Contexto: Hemos completado los endpoints principales del Backend. Antes de dar por cerrado el Sprint 3, debemos garantizar que el sistema escale. En una arquitectura Multi-tenant, casi todas las queries llevan un WHERE tenant_id = X. Si no tenemos índices en esa columna, el rendimiento caerá en picado a medida que añadimos clientes. Además, los listados ordenados (ORDER BY created_at DESC) son puntos de dolor habituales. Necesitamos auditar las 3 queries más críticas del sistema y documentar las mejoras.
Rol: Actúa como un Database Administrator (DBA) experto en PostgreSQL y optimización de ORMs.
Tarea:
Analizar las queries generadas por los endpoints críticos.
Proponer los Índices (SQL) necesarios.
Documentar el resultado en docs/performance/sql_optimization.md.
Requisitos Técnicos:
Identificación de "Hot Paths":
Endpoint: GET /projects -&gt; Filtra por tenant_id, Paginación.
Endpoint: GET /documents -&gt; Filtra por project_id, Ordena por created_at DESC.
Endpoint: GET /alerts -&gt; Filtra por project_id, severity, status.
Análisis (Simulado):
Asume que sin índices, Postgres hace un Sequential Scan.
Explica cómo usar EXPLAIN ANALYZE para detectar esto.
Solución: Índices Compuestos (Composite Indexes):
No basta con indexar IDs individuales.
Propón índices compuestos para cubrir las consultas más frecuentes.
Ejemplo: Para documentos, un índice en (project_id, created_at DESC) permite filtrar y ordenar en una sola operación (Index Scan).
Ejemplo: Para alertas, (project_id, status, severity).
Optimización ORM (N+1):
Revisa si al pedir Projects estamos trayendo datos de tablas relacionadas (ej. Documents) en un bucle.
Recomienda el uso de joinedload o selectinload de SQLAlchemy donde aplique.
Entregable (Markdown):
El archivo debe contener:
Query Problemática: SQL crudo generado.
Diagnóstico: "Coste alto debido a Seq Scan".
Solución: Sentencia CREATE INDEX CONCURRENTLY ....
Resultado Esperado: Reducción de tiempo estimada (ej. 200ms -&gt; 5ms).
Entregable: Contenido del archivo Markdown con las sentencias SQL de optimización listas para ser aplicadas como una migración.</t>
  </si>
  <si>
    <t>Esta actividad es la implementación técnica de las optimizaciones detectadas en el análisis anterior. Aquí es donde "bajamos al barro" y escribimos el SQL que hará volar la aplicación.
Nos enfocaremos en los índices para Búsqueda de Texto (ej. buscar un documento por nombre) y Filtros Compuestos que no cubrimos en la optimización básica. PostgreSQL tiene una extensión maravillosa llamada pg_trgm (Trigramas) que permite búsquedas tipo "LIKE %texto%" ultra rápidas, vital para la experiencia de usuario.
📝 Actividad: CE-S4-014
Nombre: Índices Adicionales Búsqueda (Implementation) Dominio: Database / Performance Story Points: 0.5 Dependencias: CE-S4-013 (El análisis previo) Prioridad: P1 (Performance)
🚀 Prompt Optimizado
Contexto: Hemos analizado las queries lentas. Ahora debemos aplicar los índices necesarios en la base de datos de Supabase. El Dashboard tiene una barra de búsqueda global. El usuario espera escribir "contrato" y ver resultados instantáneos de Proyectos y Documentos. Una búsqueda ILIKE '%contrato%' sin índice implica leer toda la tabla. Necesitamos habilitar la extensión de búsqueda de PostgreSQL y crear índices específicos para texto y claves foráneas faltantes.
Rol: Actúa como un PostgreSQL DBA experto.
Tarea: Crear el archivo de migración infrastructure/supabase/migrations/007_indexes.sql.
Requisitos Técnicos:
Extensión Trigramas:
Incluye el comando para habilitar pg_trgm si no existe (CREATE EXTENSION IF NOT EXISTS pg_trgm;). Esto es necesario para indexar búsquedas parciales de texto eficientes.
Índices GIN (Generalized Inverted Index):
Crea índices GIN para las columnas de texto que el usuario buscará frecuentemente:
projects.title
documents.filename
Sintaxis: CREATE INDEX idx_projects_title_trgm ON projects USING gin (title gin_trgm_ops);
Índices para Claves Foráneas (Foreign Keys):
PostgreSQL no crea índices automáticos en las FK. Verifica y crea índices B-Tree estándar para las relaciones si no existen, para evitar bloqueos en cascada al borrar:
documents.project_id
alerts.project_id
wbs_items.project_id
Índice de Estado de Tareas (Celery Queue):
La tabla documents será consultada frecuentemente por su status (Polling). Crea un índice en status para acelerar el filtrado de "Qué documentos están procesándose".
Idempotencia:
Usa CREATE INDEX IF NOT EXISTS para evitar errores si la migración se corre dos veces.
Entregable: Código SQL completo del archivo de migración.</t>
  </si>
  <si>
    <t>Esta actividad convierte a la herramienta en un "Abogado/Project Manager Paranoico".
A diferencia de extraer nombres (que es búsqueda), extraer Riesgos implica Inferencia y Razonamiento. La IA debe leer una cláusula que parece inocente (ej: "El contratista asume responsabilidad por condiciones del suelo desconocidas") y marcarla como una alerta roja ("Riesgo Geotécnico Ilimitado").
Aquí tienes el prompt optimizado para un AI Engineer.
📝 Actividad: CE-S5-002
Nombre: RiskExtractorAgent (Contractual &amp; Project Risks) Dominio: AI / Backend Story Points: 3 Dependencias: CE-S4-001 (Base AI Service) Prioridad: P1 (Alto Valor Agregado)
🚀 Prompt Optimizado
Contexto: Estamos desarrollando el RiskExtractorAgent en apps/api/src/agents/risk_extractor.py. Este agente debe analizar el texto del contrato (específicamente las "Condiciones Particulares") y la memoria del proyecto para detectar riesgos potenciales antes de que ocurran. No buscamos obviedades; buscamos cláusulas abusivas, cronogramas irreales o dependencias externas peligrosas.
Rol: Actúa como un Senior Risk Manager con 20 años de experiencia en proyectos EPC (Engineering, Procurement, Construction).
Tarea: Implementar la clase RiskExtractorAgent y diseñar el prompt de análisis.
Requisitos Técnicos:
Diseño del Prompt (System Message):
Persona: "Eres un auditor de riesgos experto. Tu trabajo es encontrar 'Trampas' en el contrato y debilidades en el plan."
Categorías de Riesgo: Instruye al modelo para clasificar en:
LEGAL (Cláusulas abusivas, multas).
FINANCIAL (Flujo de caja, sobrecostes).
SCHEDULE (Plazos imposibles, ruta crítica).
TECHNICAL (Tecnología no probada, complejidad).
HSE (Seguridad y Medio Ambiente).
Schema de Salida (JSON Estricto):
El modelo debe devolver una lista de objetos RiskItem:
JSON
{
  "risks": [
    {
      "category": "LEGAL",
      "summary": "Penalización por retraso sin tope máximo",
      "description": "La cláusula 14.2 establece penalización diaria del 1% sin límite acumulado.",
      "probability": "MEDIUM", // LOW, MEDIUM, HIGH
      "impact": "CRITICAL",   // LOW, MEDIUM, HIGH, CRITICAL
      "mitigation_suggestion": "Negociar un cap del 10% del valor del contrato.",
      "source_quote": "Clause 14.2: The penalty shall be 1% per day..."
    }
  ]
}
Lógica de Inferencia:
Implementa una heurística simple en Python tras recibir la respuesta: Si impact == CRITICAL y probability == HIGH, marca este riesgo para una Alerta Inmediata en el sistema (aunque el usuario no haya abierto el dashboard de riesgos).
Optimización de Contexto:
Este agente no debe leer la tabla de precios (BOM). Debe enfocarse en el texto narrativo del Contrato y la Memoria Técnica. Configura el input_filter para priorizar esas secciones.
Entregable: Código Python de la clase RiskExtractorAgent y un archivo risk_prompts.py con las instrucciones de ingeniería de prompt.</t>
  </si>
  <si>
    <t>El Backend es el motor, pero el Frontend es el volante. Sin él, el usuario no puede conducir. Vamos a inicializar el proyecto web usando el stack moderno estándar: Next.js (App Router) + TypeScript + Tailwind CSS.
Aquí tienes el prompt para tu Frontend Architect.
📝 Actividad: CE-S4-016
Nombre: Frontend Setup &amp; Architecture (Next.js + Shadcn/UI) Dominio: Frontend / Architecture Story Points: 2 Dependencias: Ninguna (Nuevo Repositorio/Directorio apps/web) Prioridad: P0 (Bloqueante para todo el Sprint 4)
🚀 Prompt Optimizado
Contexto: Arrancamos la fase de visualización de C2Pro. Necesitamos inicializar la aplicación web en apps/web/ (suponiendo un monorepo o repo separado). El objetivo es crear una base sólida, tipada y escalable para un Dashboard B2B complejo. Usaremos Next.js 14+ (App Router) por su capacidad de Server Components (RSC) y SEO, aunque nuestra app sea privada (el performance de carga es clave). Para la UI, usaremos Shadcn/UI (basado en Radix Primitives + Tailwind), que es el estándar actual para apps limpias y accesibles.
Rol: Actúa como un Senior Frontend Architect experto en React Ecosystem.
Tarea:
Generar el comando de inicialización.
Definir la estructura de carpetas.
Configurar el cliente HTTP base para hablar con la API Python.
Requisitos Técnicos:
Stack Base:
Framework: Next.js (App Router).
Language: TypeScript (Strict mode).
Styling: Tailwind CSS.
Icons: Lucide React.
Linting: ESLint + Prettier.
Estructura de Directorios (Opinionated):
Define una estructura clara para separar UI de Lógica:
src/app: Rutas (Pages, Layouts).
src/components/ui: Componentes base (Botones, Inputs -&gt; Shadcn).
src/components/domain: Componentes de negocio (ej. ProjectCard, UploadWidget).
src/lib: Utilidades (formateo de fechas, números).
src/services: Llamadas a la API (desacopladas de los componentes).
src/hooks: Custom Hooks (useProjects, useUpload).
Configuración API (src/services/api.ts):
Crea una instancia de axios (o fetch wrapper) pre-configurada.
Base URL: process.env.NEXT_PUBLIC_API_URL (apuntando a http://localhost:8000).
Timeouts: 10 segundos.
Headers: Content-Type: application/json.
UI Library Init:
Instrucciones para inicializar Shadcn/UI (npx shadcn-ui@latest init).
Instalar componentes base iniciales: button, input, card, toast.
Entregable:
Archivo package.json esperado.
Árbol de directorios (tree).
Código de src/services/api.ts.
Archivo .env.local.example.</t>
  </si>
  <si>
    <t>Esta es la estructura que verán tus usuarios el 90% del tiempo.
Un buen Layout (App Shell) debe ser invisible: facilitar la navegación sin estorbar. Usaremos el patrón estándar de Sidebar fija a la izquierda (Desktop) + Header superior + Menú Hamburguesa (Mobile).
Aquí tienes el prompt para tu Frontend Developer.
📝 Actividad: CE-S4-017
Nombre: Main Layout &amp; Navigation (App Shell) Dominio: Frontend / UX Story Points: 2 Dependencias: CE-S4-016 (Project Setup) Prioridad: P0 (Bloqueante para vistas)
🚀 Prompt Optimizado
Contexto: Tenemos el proyecto Next.js inicializado. Ahora necesitamos el Layout Principal que envolverá todas las páginas autenticadas del dashboard. Este layout debe ser responsivo:
Desktop: Sidebar lateral fija de 250px.
Mobile: Sidebar oculta, accesible mediante botón "Hamburguesa" (Sheet).
Rol: Actúa como un Frontend Developer experto en Tailwind CSS y Accesibilidad.
Tarea:
Crear el componente Sidebar.
Crear el componente Header (Top bar).
Configurar el layout.tsx para el grupo de rutas (dashboard).
Requisitos Técnicos:
Componente Sidebar (src/components/layout/sidebar.tsx):
Debe ser un Client Component ("use client") para acceder a usePathname() y resaltar el enlace activo.
Links de Navegación:
Dashboard (/dashboard) - Icono: LayoutDashboard.
Projects (/projects) - Icono: FolderKanban.
Settings (/settings) - Icono: Settings.
Estilo: Fondo oscuro o gris claro (slate-900 o slate-50), texto contrastado. Usa las clases h-screen, sticky, top-0.
Componente Header (src/components/layout/header.tsx):
Ubicado en la parte superior. Sticky con fondo backdrop-blur.
Contenido:
Izquierda: Botón Hamburguesa (solo visible en md:hidden) que abre el Sidebar en un Sheet (componente Shadcn).
Centro: Breadcrumbs (opcional).
Derecha: UserNav (Avatar con Dropdown para Logout).
Estructura de Rutas (src/app/(dashboard)/layout.tsx):
Usa CSS Grid o Flexbox para posicionar el Sidebar y el children (contenido principal).
Layout sugerido:
TypeScript
&lt;div className="flex h-screen overflow-hidden"&gt;
  &lt;Sidebar className="hidden md:block w-64 border-r" /&gt;
  &lt;div className="flex-1 flex flex-col overflow-y-auto"&gt;
    &lt;Header /&gt;
    &lt;main className="p-6 flex-1"&gt;{children}&lt;/main&gt;
  &lt;/div&gt;
&lt;/div&gt;
Librería de Componentes:
Usa lucide-react para los iconos.
Usa componentes de Shadcn/UI: Sheet (Mobile nav), Button, Avatar, DropdownMenu.
Entregable: Código de sidebar.tsx, header.tsx y el layout.tsx correspondiente.</t>
  </si>
  <si>
    <t>Esta es la "Home Screen" funcional para el usuario. Aquí verá su portafolio de obras.
No queremos una tabla HTML fea de los 90. Queremos una Data Table interactiva: con estados de carga (Skeletons), manejo de errores y badges de estado bonitos.
Además, introduciremos TanStack Query (React Query). Es el estándar de la industria para manejar estado asíncrono en React. Olvida el useEffect manual; React Query gestiona el caché, reintentos y el estado isLoading por ti.
📝 Actividad: CE-S4-018
Nombre: Projects List Page (Data Table &amp; Fetching) Dominio: Frontend / UI Story Points: 2 Dependencias: CE-S4-017 (Layout), CE-S3-008 (API List Endpoint) Prioridad: P0 (Core UI)
🚀 Prompt Optimizado
Contexto: Ya tenemos el layout. Ahora necesitamos implementar la página /projects. Esta vista debe consultar el endpoint GET /projects y renderizar una tabla elegante. Usaremos TanStack Query para la gestión de datos, ya que nos facilita la paginación y el caché (si vuelvo atrás desde el detalle, la lista sigue ahí sin recargar).
Rol: Actúa como un Frontend Developer experto en React Data Patterns.
Tarea:
Configurar el QueryClientProvider (si no está hecho).
Crear el hook useProjects.
Implementar la página src/app/(dashboard)/projects/page.tsx.
Requisitos Técnicos:
Data Fetching Hook (src/hooks/use-projects.ts):
Usa useQuery de @tanstack/react-query.
Key: ['projects'].
Fetcher: Llamada a axios api.get('/projects').
Retorna: { data, isLoading, isError }.
Componente Tabla (ProjectsTable):
Usa los componentes Table, TableHeader, TableRow, TableCell de Shadcn/UI.
Columnas:
Project Name: Negrita, clickable (link a /projects/{id}).
Status: Usa el componente Badge de Shadcn. Mapea colores:
DRAFT -&gt; Gray/Secondary.
PROCESSING -&gt; Blue/Info (Quizás con un spinner pequeño).
COMPLETED -&gt; Green/Success.
Coherence Score: (Placeholder por ahora) Muestra un número o "-".
Created At: Formatea la fecha (dd/MM/yyyy) usando date-fns.
Actions: Un botón "Dropdown" con opciones "Edit" y "Delete".
Estados de UI (User Experience):
Loading: No muestres un spinner gigante. Muestra un Skeleton (5 filas grises parpadeando) que simule la estructura de la tabla.
Empty State: Si data.length === 0, muestra un componente centrado con una ilustración y un botón "Create your first project".
Error State: Si la API falla, muestra una alerta roja con un botón "Retry".
Header de Página:
Título "Projects".
Botón primario a la derecha: "+ New Project" (Por ahora puede no hacer nada o abrir un modal vacío).
Entregable: Código de use-projects.ts y page.tsx integrando la tabla y los estados de carga.</t>
  </si>
  <si>
    <t>Esta actividad conecta la lista vacía con la capacidad de acción.
Vamos a implementar el patrón estándar de "Optimistic UI" (o al menos UX reactiva): El usuario rellena el formulario, pulsa "Crear", el modal se cierra, sale un Toast de éxito y la tabla de atrás se recarga sola.
Usaremos React Hook Form + Zod. Es la combinación ganadora en React moderno para manejar formularios: menos re-renders, validación robusta y tipado estático inferido.
📝 Actividad: CE-S4-019
Nombre: Project Creation Modal (Form &amp; Mutation) Dominio: Frontend / UI Story Points: 2 Dependencias: CE-S4-018 (List Page), CE-S3-008 (Backend Endpoint) Prioridad: P0 (Core User Flow)
🚀 Prompt Optimizado
Contexto: Necesitamos permitir al usuario crear un nuevo proyecto desde la página /projects. En lugar de redirigir a una página nueva, usaremos un Modal (Dialog) para mantener el contexto. El formulario debe validar los datos antes de enviarlos a la API (POST /projects) y gestionar los errores de servidor (ej. "El nombre ya existe").
Rol: Actúa como un Frontend Developer experto en gestión de estado y formularios.
Tarea:
Crear el componente CreateProjectDialog.
Implementar el hook de mutación useCreateProject.
Integrarlo en la página de lista.
Requisitos Técnicos:
Esquema de Validación (Zod):
Define formSchema en el mismo archivo o en src/schemas/project.ts.
Campos:
name: String, min 3 chars, max 100. (Required).
description: String, max 500. (Optional).
location: String. (Optional).
Componente UI (CreateProjectDialog):
Usa los componentes de Shadcn: Dialog, DialogContent, Form, FormField, Input, Textarea.
Botón de Submit: Debe mostrar un spinner (Loader2 animate-spin) y estar deshabilitado cuando isPending es true.
Gestión de Mutación (React Query):
Crea el hook useCreateProject usando useMutation.
OnSuccess:
Invalida la query ['projects'] para que la tabla de fondo se refresque automáticamente: queryClient.invalidateQueries({ queryKey: ['projects'] }).
Cierra el modal (usa un estado controlado open / onOpenChange).
Muestra un Toast de éxito ("Project created successfully").
OnError:
Muestra un Toast de error con el mensaje que venga del backend.
Integración:
Añade este componente en ProjectsPage y conéctalo al botón "+ New Project".
Entregable: Código del componente CreateProjectDialog.tsx y el hook de mutación.</t>
  </si>
  <si>
    <t>Esta actividad es la puerta de entrada de los datos. Si la experiencia de subida es mala (lenta, sin feedback, falla sin decir por qué), el usuario abandonará.
Necesitamos un componente Drag &amp; Drop robusto. No un simple &lt;input type="file"&gt;, sino una zona de caída que valide extensiones, muestre el progreso de la subida (0-100%) y maneje errores individualmente por archivo.
📝 Actividad: CE-S4-020
Nombre: File Upload Widget (Drag &amp; Drop + Progress) Dominio: Frontend / UI Story Points: 2 Dependencias: CE-S4-010 (API Endpoint), CE-S4-019 (Project Created) Prioridad: P0 (Core Feature)
🚀 Prompt Optimizado
Contexto: Estamos en el detalle de un proyecto (/projects/[id]). Necesitamos permitir al usuario subir los documentos (Contrato PDF, Presupuesto Excel, etc.). Usaremos la librería react-dropzone para gestionar la interacción de arrastrar y soltar. El reto aquí es la UX de Subida: El usuario puede arrastrar 3 archivos a la vez. Debemos mostrar una lista donde cada archivo tenga su propia barra de progreso y estado (Subiendo... -&gt; Completado/Error).
Rol: Actúa como un Frontend Developer obsesionado con la retroalimentación visual.
Tarea:
Instalar react-dropzone.
Crear el componente UploadWidget.
Implementar la lógica de subida con axios (para tener acceso al evento onUploadProgress).
Requisitos Técnicos:
Zona de Drop (UploadZone):
Uso de useDropzone:
accept: {'application/pdf': ['.pdf'], 'application/vnd.openxmlformats...': ['.xlsx'], ...}.
maxSize: 50MB (52428800 bytes).
multiple: true.
Estilos (Tailwind):
Estado normal: Borde dashed gris.
Estado isDragActive: Borde azul sólido, fondo azul muy claro (feedback visual inmediato).
Contenido: Icono de nube (UploadCloud), texto "Drag &amp; drop files here, or click to select".
Lista de Archivos en Cola:
Debajo de la zona, renderiza los archivos seleccionados.
Para cada archivo, inicia la subida inmediatamente (o mediante un botón "Upload All", decide la UX más fluida, sugerencia: Auto-upload al soltar para reducir clics).
Lógica de Subida (useFileUpload Hook):
Itera sobre los archivos aceptados.
Por cada archivo, haz una petición POST al endpoint /projects/{id}/documents.
Barra de Progreso: Usa la config de axios:
JavaScript
onUploadProgress: (progressEvent) =&gt; {
    const percent = Math.round((progressEvent.loaded * 100) / progressEvent.total);
    setUploadProgress(percent);
}
Usa el componente Progress de Shadcn/UI para mostrar la barra visualmente.
Manejo de Respuestas:
Éxito (202 Accepted): Marca el archivo con un check verde ✅ y dispara la invalidación de la query de la lista de documentos (para que aparezca abajo).
Error: Marca el archivo con una X roja ❌ y muestra un tooltip con el error del backend (ej. "File too large").
Entregable: Código del componente UploadWidget.tsx y el hook de lógica asociado.</t>
  </si>
  <si>
    <t>Esta actividad es vital para la percepción de velocidad.
El usuario acaba de subir un PDF de 500 páginas. Si la lista se queda estática en "Subiendo..." y tiene que darle F5 manualmente cada 10 segundos para ver si acabó, sentirá que la herramienta es vieja. Implementaremos Smart Polling: La lista se refresca sola cada 5 segundos mientras haya documentos procesándose, y deja de refrescarse (para ahorrar batería y datos) cuando todo ha terminado.
📝 Actividad: CE-S4-021
Nombre: Real-time Document List (Smart Polling) Dominio: Frontend / UI Story Points: 2 Dependencias: CE-S4-020 (Upload), CE-S4-010 (API List Endpoint) Prioridad: P0 (Core UX)
🚀 Prompt Optimizado
Contexto: Necesitamos mostrar la lista de documentos subidos en /projects/[id]. El desafío es que el procesamiento en el backend es asíncrono. Un documento pasa de QUEUED -&gt; PROCESSING -&gt; PARSED (o ERROR) en un lapso de 1 a 3 minutos. Usaremos TanStack Query para hacer polling automático, pero debemos ser inteligentes: no tiene sentido bombardear la API si todos los documentos ya están en estado final.
Rol: Actúa como un Frontend Developer experto en React Query y optimización de red.
Tarea:
Crear el componente DocumentList.
Implementar el hook useProjectDocuments con lógica de polling condicional.
Requisitos Técnicos:
Hook Inteligente (useProjectDocuments):
Usa useQuery apuntando a /projects/{id}/documents.
Lógica de refetchInterval:
Calcula dinámicamente: Si en la lista actual (data) hay al menos un item con status QUEUED o PROCESSING -&gt; retorna 5000 (5 segundos).
Si todos están PARSED o ERROR -&gt; retorna false (Desactiva polling).
Esto asegura que la UI esté "viva" solo cuando es necesario.
Componente UI (DocumentList):
Renderiza una tabla con columnas: Filename, Size (formateado en KB/MB), Uploaded At (Time ago), Status, Actions.
Badges de Estado:
QUEUED: Gris (Badge simple).
PROCESSING: Azul + Icono Loader2 girando (animate-spin).
PARSED: Verde + Icono CheckCircle.
ERROR: Rojo + Icono AlertCircle + Tooltip con el mensaje de error.
Acciones (Delete):
Implementa un botón de borrar (Icono Trash2 rojo).
Conecta con el hook useDeleteDocument (mutation DELETE /documents/{id}).
Al borrar, invalida la query para que desaparezca de la lista inmediatamente.
Estado Vacío:
Si no hay docs, muestra un mensaje amigable: "No documents yet. Upload one above to start analysis."
Entregable: Código de DocumentList.tsx y el hook useProjectDocuments optimizado.</t>
  </si>
  <si>
    <t>Esta es la pantalla que vende el producto. Es la vista donde el Project Manager entra el lunes por la mañana para responder a la pregunta: "¿Está mi proyecto en problemas?".
Necesitamos un componente visual impactante. Un Gauge Chart (Velocímetro) es el estándar para scores de 0 a 100. Debe cambiar de color semánticamente (Rojo/Amarillo/Verde) según la nota.
Aquí tienes el prompt para un Frontend Developer especializado en visualización de datos.
📝 Actividad: CE-S4-022
Nombre: Project Dashboard &amp; Score Gauge (Data Viz) Dominio: Frontend / UI Story Points: 3 Dependencias: CE-S3-007 (Score API), CE-S4-017 (Layout) Prioridad: P0 (Core Value Proposition)
🚀 Prompt Optimizado
Contexto: Estamos construyendo la vista principal del proyecto: src/app/(dashboard)/projects/[id]/page.tsx. El elemento central es el Coherence Score. Necesitamos visualizar este número (0-100) de forma gráfica y atractiva. Además, debemos mostrar un resumen de las alertas para que el usuario sepa por qué tiene esa nota. Consumiremos el endpoint GET /projects/{id}/coherence-score.
Rol: Actúa como un Frontend Developer con experiencia en librerías de gráficos (Recharts o Tremor).
Tarea:
Crear el componente ScoreGauge.
Crear el componente AlertsBreakdown.
Montar el Dashboard Grid.
Requisitos Técnicos:
Componente ScoreGauge:
Visual: Un semicírculo (o círculo completo) que representa el porcentaje.
Colores Semánticos:
0-49: text-red-500 (Critical).
50-79: text-yellow-500 (Warning).
80-100: text-green-500 (Healthy).
Implementación: Puedes usar Recharts (PieChart con startAngle 180, endAngle 0) o simplemente SVG puro con stroke-dasharray (a menudo más ligero y fácil de personalizar para un simple arco).
Animación: El valor debe animarse al cargar (0 -&gt; 85 en 1 segundo).
Componente AlertsBreakdown:
Una fila de 4 "Stat Cards" (Tarjetas de estadísticas) pequeñas.
Cada tarjeta muestra:
Label: Critical, High, Medium, Low.
Value: Número de alertas (traído del objeto breakdown de la API).
Icono: AlertTriangle, AlertOctagon, etc.
Color del borde/icono coincidiendo con la severidad.
Layout del Dashboard (DashboardPage):
Grid System: Usa CSS Grid (grid-cols-1 md:grid-cols-3).
Columna Izquierda (2/3):
Arriba: ScoreGauge (Grande, centrado).
Abajo: TopDrivers (Lista de las 3 reglas principales que están bajando la nota).
Columna Derecha (1/3):
AlertsBreakdown (Stack vertical o Grid 2x2).
Botón "View All Alerts" que lleva a la página de detalle.
Estado de Carga:
Si el status del score es PENDING (porque la IA aún está calculando), muestra un estado de "Analyzing..." con una animación de pulso, en lugar del score numérico.
Entregable: Código de page.tsx (Dashboard), ScoreGauge.tsx y AlertsBreakdown.tsx.</t>
  </si>
  <si>
    <t>sta es la pantalla de trabajo diario. Aquí es donde el Project Manager "limpia" el proyecto.
Si el Dashboard es el diagnóstico, esta página es la Sala de Cirugía. El usuario necesita herramientas precisas: filtros para aislar el ruido, vistas detalladas para entender la evidencia y botones rápidos para tomar decisiones ("Esto es un error de la IA" vs "Esto ya lo arreglé").
📝 Actividad: CE-S4-023
Nombre: Alert Management Page (List, Filter &amp; Resolution) Dominio: Frontend / UI Story Points: 3 Dependencias: CE-S4-009 (API Alerts), CE-S4-017 (Layout) Prioridad: P0 (Core Workflow)
🚀 Prompt Optimizado
Contexto: Vamos a construir la página /projects/[id]/alerts. El objetivo es listar las discrepancias detectadas por el motor de coherencia. Dado que puede haber cientos de alertas, la Filtraibilidad es clave. Además, el usuario debe poder ver la Evidencia (el JSON crudo o formateado que explica por qué saltó la regla) y cambiar el estado de la alerta.
Rol: Actúa como un Frontend Developer experto en UX para gestión de tareas complejas.
Tarea:
Crear el componente AlertsFilters.
Crear la tabla AlertsTable con funcionalidad de "Row Expansion" o "Side Sheet" para ver detalles.
Implementar la mutación para resolver/descartar alertas.
Requisitos Técnicos:
Barra de Herramientas (AlertsToolbar):
Filtros:
Severity: Select Múltiple (Critical, High, Medium, Low).
Status: Toggle Group (Open, Resolved, Dismissed). Por defecto: Open.
Category: Select (Cost, Schedule, Scope, Legal).
Búsqueda: Input de texto para buscar en título/descripción.
Tip: Sincroniza estos filtros con la URL (useSearchParams) para que el usuario pueda compartir el link de "Alertas Críticas de Coste".
Tabla de Alertas (AlertsTable):
Columnas:
Severity: Badge coloreado (Rojo, Naranja, Amarillo, Azul).
Rule: Código corto (ej. R14) + Título truncado.
Affected Area: Badges pequeños (ej. "WBS", "Contract").
Date: Fecha de detección.
Actions: Dropdown (Resolve, Dismiss).
Interacción: Al hacer clic en una fila, abre un Sheet (panel lateral) con el detalle completo.
Panel de Detalle (AlertDetailSheet):
Muestra el Title completo y la Description formateada.
Sección de Evidencia:
Renderiza el evidence_json de forma legible. Si es posible, usa un componente JSONViewer o formatea los pares clave-valor en una grid.
Botones de Acción:
"Mark as Resolved" (Verde): Pide un comentario opcional.
"Dismiss as False Positive" (Gris): Pide justificación.
Links: Si la alerta tiene source_clause_id, muestra un botón "Go to Contract Clause" (aunque por ahora sea un link muerto o placeholder).
Mutación de Estado (useUpdateAlert):
Hook que llama a PATCH /alerts/{id}.
Optimistic Update: Actualiza la caché local inmediatamente para que la alerta desaparezca de la lista "Open" sin esperar al servidor.
Entregable: Código de la página page.tsx, AlertsTable.tsx y el hook useUpdateAlert.</t>
  </si>
  <si>
    <t>Esta actividad añade una capa de "Inteligencia Política" al sistema.
Saber quién está en el proyecto es el paso 1 (Extracción). Saber cómo tratarlo es el paso 2 (Clasificación). No tratas igual al "Director Financiero del Cliente" (Alto Poder / Alto Interés) que al "Proveedor de Catering" (Bajo Poder / Bajo Interés). Esta clasificación automática permitirá al Project Manager priorizar sus esfuerzos de comunicación.
📝 Actividad: CE-S5-002
Nombre: StakeholderClassifier (Power/Interest Matrix) Dominio: AI / Strategic Analysis Story Points: 1 Dependencias: CE-S5-001 (Stakeholder Extractor) Gate: Gate 5 (AI Inference)
🚀 Prompt Optimizado
Contexto: Ya tenemos la lista de entidades y personas extraídas del contrato (StakeholderExtractorAgent). Ahora necesitamos enriquecer esa lista. Crearemos el servicio apps/api/src/services/stakeholder_classifier.py. Este servicio usará la IA para inferir el nivel de Poder (Capacidad de detener o cambiar el proyecto) y Interés (Nivel de preocupación por el resultado) basado en el rol y la empresa del stakeholder. El objetivo es asignar a cada uno un cuadrante de la Matriz de Mendelow.
Rol: Actúa como un AI Product Strategist experto en gestión de proyectos.
Tarea: Implementar la lógica de clasificación usando un LLM.
Requisitos Técnicos:
Definición de Cuadrantes (Enums):
Define los 4 cuadrantes estándar:
MANAGE_CLOSELY (High Power / High Interest) - Ej. Dueño, Financiero.
KEEP_SATISFIED (High Power / Low Interest) - Ej. Entes Reguladores, Gobierno.
KEEP_INFORMED (Low Power / High Interest) - Ej. Usuarios finales, Vecinos.
MONITOR (Low Power / Low Interest) - Ej. Proveedores menores.
Prompt de Razonamiento:
Diseña un prompt que reciba: Role, Company, ContractType.
Pide a la IA que razone:
"¿Puede esta persona detener la obra?" (Power).
"¿Le afecta directamente el retraso?" (Interest).
Salida esperada: JSON con power_score (1-10), interest_score (1-10) y quadrant.
Implementación del Servicio:
Clase StakeholderClassifier.
Método classify_batch(stakeholders: List[Stakeholder]) -&gt; List[EnrichedStakeholder].
Procesar en lote (batch) para ahorrar tokens (enviar toda la lista en un solo prompt).
Integración con Reglas de Negocio:
Añade una heurística post-IA:
Si el rol contiene "Safety" o "HSE" -&gt; Forzar High Power (pueden parar la obra por seguridad).
Si el rol es "Project Manager" -&gt; Forzar High Interest.
Entregable: Código Python del servicio stakeholder_classifier.py incluyendo los Pydantic Models y el System Prompt.</t>
  </si>
  <si>
    <t>Esta actividad introduce el concepto de "Confianza Supervisada".
La IA no es perfecta. Si el sistema alucina un riesgo o clasifica mal a un stakeholder, el usuario debe tener la última palabra. Este flujo HITL (Human-in-the-Loop) convierte la herramienta en un asistente colaborativo en lugar de una caja negra autoritaria. Además, cada corrección del usuario es un dato de entrenamiento puro para futuras versiones ("Data Flywheel").
📝 Actividad: CE-S5-004
Nombre: Human-in-Loop Workflow Backend (Approval System) Dominio: Backend / API Story Points: 2 Dependencias: CE-S2-001 (Schemas), Agentes de IA previos Gate: Gate 6 (User Validation)
🚀 Prompt Optimizado
Contexto: Nuestros agentes (Stakeholders, Risks) generan datos probabilísticos. No podemos tratarlos como verdades absolutas en la base de datos. Necesitamos un sistema de "Aprobación" en apps/api/src/routers/approvals.py. Por defecto, todo lo que genera la IA nace con estado PENDING_REVIEW. El usuario, desde el frontend, revisará y podrá:
Aprobar: "La IA acertó".
Rechazar: "Esto es alucinación, bórralo".
Corregir: "Es un riesgo, pero la probabilidad es Baja, no Alta".
Rol: Actúa como un Backend Lead enfocado en Calidad de Datos.
Tarea: Implementar el router de aprobaciones y validación humana.
Requisitos Técnicos:
Esquema de Estado (ApprovalStatus):
Define un Enum global: PENDING, APPROVED, REJECTED, CORRECTED.
Asegúrate de que las tablas risks y stakeholders tengan esta columna (o crea una migración rápida si falta).
Endpoints de Revisión (PATCH /approvals/{resource_type}/{id}):
Resource Type: Puede ser risks o stakeholders.
Payload (ApprovalReview):
status: APPROVED | REJECTED | CORRECTED.
correction_data: Dict (Opcional). Si el usuario corrige datos (ej. cambia el nombre del stakeholder), aquí viene el nuevo objeto.
feedback_comment: str (Opcional). "¿Por qué lo cambiaste?".
Lógica de Negocio:
Si es APPROVED: Actualiza status a APPROVED.
Si es REJECTED: Marca como REJECTED (Soft delete). No lo borres físicamente; sirve para medir la tasa de fallo de la IA.
Si es CORRECTED: Actualiza los campos con correction_data y pon status APPROVED (o CORRECTED).
Audit: Guarda el user_id del revisor y el timestamp.
Feedback Loop (Telemetry):
Cada vez que hay una corrección o rechazo, emite un log estructurado (o guarda en una tabla ai_feedback_loop) que contenga: { original_ai_output, human_correction }. Esto es oro para re-entrenar modelos o ajustar prompts.
Entregable: Código Python de approvals.py y los esquemas Pydantic necesarios.</t>
  </si>
  <si>
    <t>Alta Prioridad:
  - Funcionalidad de búsqueda avanzada
  - Filtros de entidades
  - Validación de entidades
  - Alertas y notificaciones
  Media Prioridad:
  - Drag &amp; drop para documentos
  - Bookmark/favorites para páginas
  - Anotaciones en PDF
  - Comparación de documentos
  Baja Prioridad:
  - Temas de color (dark mode)
  - Configuración de usuario
  - Historial de cambios
  - Estadísticas de uso</t>
  </si>
  <si>
    <t>Esta actividad es el "Paso de la Verdad". Hemos escrito mucho código de parseo (PDF, Excel, BC3), pero hasta que no le lancemos archivos reales, sucios y mal formateados, no sabremos si funciona.
El parser es el componente más frágil del sistema: un cambio en el formato del Excel del cliente o un PDF con fuentes extrañas puede romper todo el pipeline. Por eso, estos tests de integración son una red de seguridad vital (P0).
Aquí tienes el prompt optimizado para un QA Lead.
📝 Actividad: CE-S3-011
Nombre: Tests Integración Parsers (PDF/Excel/BC3) Dominio: QA / Testing Story Points: 1 Dependencias: CE-S3-001, CE-S3-002, CE-S3-003 (Los Parsers) Prioridad: P0 (Gate de Calidad)
🚀 Prompt Optimizado
Contexto: Hemos implementado los tres parsers principales (PdfParser, ExcelBudgetParser, Bc3Parser). Ahora debemos asegurar su robustez antes de desplegar. Necesitamos una suite de Tests de Integración que tome archivos reales (fixtures) ubicados en el disco, los procese y verifique que la estructura de datos resultante es correcta y cumple con los esquemas Pydantic. El objetivo no es probar cada línea de código (Unit Test), sino probar el flujo completo: Archivo Binario -&gt; Parser -&gt; Objeto Python Limpio.
Rol: Actúa como un QA Automation Lead experto en pytest y manejo de archivos de prueba.
Tarea:
Crear la estructura de carpetas de fixtures.
Implementar tests/integration/parsers/test_parsers_integration.py.
Requisitos Técnicos:
Setup de Fixtures (conftest.py):
Define un fixture sample_files_path que apunte a tests/fixtures/files/.
Instruye sobre qué archivos "dummy" se necesitan para correr los tests (ej: valid_contract.pdf, complex_budget.xlsx, standard.bc3).
Test 1: PDF Parser (Text + Tables):
Carga valid_contract.pdf.
Ejecuta PdfParser.extract_text().
Asserts:
parsed.full_text no está vacío.
Contiene una string clave conocida (ej. "CLÁUSULA PRIMERA").
(Si implementamos tablas) Verifica que detectó al menos una tabla.
Test 2: Excel Parser (Heurística de Cabeceras):
Carga complex_budget.xlsx (donde la cabecera NO está en la fila 1).
Ejecuta ExcelBudgetParser.parse().
Asserts:
Detectó correctamente la fila de inicio (evitó logos/portada).
Extrajo el número correcto de ítems (ej. len(items) &gt; 5).
El primer ítem tiene unit_price numérico válido.
Test 3: BC3 Parser (Encoding Stress Test):
Carga legacy.bc3 (codificado en Windows-1252 o ISO-8859-1).
Ejecuta Bc3Parser.parse().
Asserts:
No lanzó excepción de codificación.
Las descripciones contienen caracteres correctos (ej. "Hormigón" y no "HormigÃ³n").
La jerarquía se aplanó correctamente (tenemos ítems hoja).
Output Validation:
Verifica que todos los outputs sean instancias válidas de los Schemas (ParsedDocument, BudgetItem).
Entregable: los tests integrados, listo para correr con pytest.</t>
  </si>
  <si>
    <t>Esta actividad es el "Crash Test" de tu sistema.
Hasta ahora, hemos probado con contratos de juguete (10-20 páginas). En la vida real, un contrato FIDIC puede tener 500 páginas. Si lanzamos eso a la API de Anthropic de golpe:
Te quedarás sin memoria RAM.
Te quedarás sin presupuesto (tokens).
Obtendrás un Timeout de HTTP.
Necesitamos un script de estrés que simule estas cargas pesadas para calibrar el tamaño de los "chunks" y los tiempos de espera de Celery.
📝 Actividad: CE-S5-008
Nombre: Stress Testing AI Pipelines (Large Docs &amp; Concurrency) Dominio: QA / Performance Story Points: 2 Dependencias: CE-S4-010 (Uploads), CE-S5-003 (Agents) Gate: Gate 5 (Performance Stability)
🚀 Prompt Optimizado
Contexto: Nuestros agentes de IA funcionan bien en desarrollo. Ahora debemos validar su comportamiento con Cargas Reales. Crearemos el script tests/performance/stress_test_ai.py. El objetivo no es probar si la IA es lista, sino si la infraestructura aguanta. Queremos responder:
¿Qué pasa si subo un PDF de 100MB / 800 páginas?
¿Qué pasa si 10 usuarios suben archivos simultáneamente?
¿Cuánto tarda el RiskExtractor en procesar todo esto?
Rol: Actúa como un Performance Engineer experto en Python y herramientas de carga (Locust o scripts asíncronos).
Tarea: Crear un script de Python independiente que estrese el pipeline de ingestión y análisis.
Requisitos Técnicos:
Generador de Documentos Sintéticos:
Crea una utilidad que genere un PDF "Frankenstein" repitiendo páginas de texto legal denso hasta alcanzar tamaños objetivo (50 págs, 200 págs, 500 págs).
Medición de Latencia (End-to-End):
Mide el tiempo exacto desde POST /documents hasta que el status cambia a PARSED y luego a SCORED.
Registra el tiempo por etapa (Upload -&gt; Celery Pickup -&gt; Parsing -&gt; AI Extraction -&gt; Save).
Prueba de Concurrencia (Burst):
Usa asyncio o ThreadPoolExecutor para lanzar 5 subidas simultáneas de documentos medianos.
Verifica si los workers de Celery (Redis) se bloquean o si escalan correctamente (dependiendo de tu config de worker_concurrency).
Monitorización de Costes (Token Usage):
Si es posible, captura los logs de uso de tokens (input/output) para estimar el coste de procesar un documento gigante.
Assert: Si el coste estimado supera X dólares (simulado por conteo de palabras), lanza una advertencia.
Reporte:
El script debe imprimir una tabla en consola:
Plaintext
| Doc Size | Pages | Concurrent Users | Total Time | Status |
|----------|-------|------------------|------------|--------|
| 10MB     | 100   | 1                | 45s        | PASS   |
| 50MB     | 500   | 1                | 180s       | PASS   |
| 10MB     | 100   | 10               | 120s       | FAIL (Timeout) |
Entregable: Código Python del script stress_test_ai.py y una breve guía de cómo ejecutarlo contra el entorno local.</t>
  </si>
  <si>
    <t>Próximos Pasos Recomendados
  1. Alta Prioridad: Agregar autenticación completa con JWT tokens
  2. Alta Prioridad: Implementar PATCH para actualizar entidades validadas
  3. Media Prioridad: Agregar paginación para proyectos con muchos documentos
  4. Baja Prioridad: WebSockets para updates en tiempo real</t>
  </si>
  <si>
    <t>Esta es la prueba de fuego de la IA. Aquí es donde el sistema demuestra que "entiende" la obra, no solo suma números.
La Regla R20 busca "Gaps de Alcance".
Contrato dice: "Incluye cerramiento perimetral de 2 metros".
Presupuesto: No tiene partida de "Valla" ni "Muro".
Resultado: Alerta Crítica.
Para un humano es obvio. Para una máquina es difícil. Usaremos la clase LlmRuleEvaluator que acabas de diseñar.
📝 Actividad: CE-S5-009
Nombre: Regla R20 - Scope Consistency Check (Semantic Gap Analysis) Dominio: AI / Backend Story Points: 2 Dependencias: CE-S5-008 (Base Class), CE-S2-008 (Parsers) Prioridad: P1 (High Value)
🚀 Prompt Optimizado
Contexto: Vamos a implementar la primera regla semántica: apps/api/src/coherence/rules/scope_consistency.py. Esta regla debe heredar de LlmRuleEvaluator. Su objetivo es comparar la narrativa del Contrato (lo que se pide) con las líneas del Presupuesto (lo que se cobra). Si hay elementos pedidos que no se cobran, el contratista va a perder dinero.
Rol: Actúa como un AI Engineer con conocimientos de Quantity Surveying (Mediciones y Presupuestos).
Tarea:
Implementar la clase RuleScopeConsistency.
Diseñar el Prompt de Comparación.
Requisitos Técnicos:
Preparación de Datos (_prepare_inputs):
Recupera el texto de la sección "Alcance de los Trabajos" (Scope of Works) del Contrato. (Limita a ~2000 tokens para no saturar).
Recupera el resumen del Presupuesto (agrupado por capítulos principales, no línea a línea, para caber en el contexto).
Input Context: { "contract_scope": "...", "budget_summary": "..." }.
Diseño del Prompt (user_prompt_template):
Instrucción: "Actúa como un Auditor Técnico. Tu tarea es identificar elementos mencionados explícitamente en el ALCANCE DEL CONTRATO que falten o estén insuficientemente descritos en el RESUMEN DEL PRESUPUESTO."
Constraints: "Ignora elementos menores (tornillos, consumibles). Céntrate en unidades de obra principales (Muros, Equipos, Cimentación)."
Lógica de Evaluación:
El LLM debe devolver una lista de "Gaps".
Si la lista no está vacía -&gt; RuleResult(status=FAIL, severity=HIGH).
El reasoning debe listar los elementos faltantes.
Schema de Respuesta (JSON):
JSON
{
  "compliant": false,
  "missing_items": [
    "Cerramiento perimetral (Mencionado en cláusula 3.1)",
    "Sistema de Bombeo Auxiliar"
  ],
  "analysis_summary": "El presupuesto cubre la obra civil pero omite los acabados exteriores exigidos."
}
Entregable: Código Python de scope_consistency.py integrando la llamada al LLM y el manejo de la respuesta.</t>
  </si>
  <si>
    <t>opp</t>
  </si>
  <si>
    <t>Actividad: CE-S6-001
Nombre: API Client &amp; Type Generation (Frontend-Backend Bridge) Dominio: Frontend / Integration Story Points: 1 Dependencias: Backend API (Running), Frontend Repo Prioridad: P0 (Bloqueante)
🚀 Prompt Optimizado
Contexto: Tenemos el Backend (FastAPI) y el Frontend (Next.js) listos pero desconectados. El frontend usa interfaces TypeScript manuales que pueden estar desincronizadas con los modelos Pydantic del backend. Necesitamos generar los tipos automáticamente y configurar el cliente HTTP (axios o tanstack-query) para consumir la API real.
Rol: Actúa como un Full-Stack Architect.
Tarea:
Configurar la generación automática de tipos TypeScript desde el openapi.json de FastAPI.
Configurar la instancia base de Axios con interceptores (para Auth tokens).
Crear los Hooks de React Query base.
Requisitos Técnicos:
Generación de Tipos:
Usa openapi-typescript-codegen o orval.
Script: npm run generate-client -&gt; Descarga http://localhost:8000/openapi.json y genera interfaces en src/lib/api/types.d.ts.
Beneficio: Si cambias un modelo en Python, el Frontend te avisa del error de compilación inmediatamente.
Cliente HTTP (src/lib/api/client.ts):
Base URL desde .env.local (NEXT_PUBLIC_API_URL).
Interceptor de Request: Inyecta el JWT del usuario (si existe).
Interceptor de Response: Maneja errores globales (ej. 401 redirige a Login, 403 muestra Toast "Sin permisos").
React Query Setup:
Configura el QueryClient con staleTime: 5 mins (para evitar refetching agresivo).
Crea un hook genérico de ejemplo: useProject(id).
Entregable:
Comando para generar tipos.
Archivo client.ts configurado.
Ejemplo de un Hook conectado a un endpoint real del backend.</t>
  </si>
  <si>
    <t>Esta es la actividad fundacional del Sprint 6. Sin esto, el frontend es solo una cáscara bonita vacía.
Vamos a automatizar la creación de interfaces. En lugar de escribir manualmente interface Project { id: string ... } y arriesgarnos a que no coincida con el backend, dejaremos que el archivo openapi.json de FastAPI escriba el código por nosotros. Esto garantiza que si el Backend cambia, el Frontend se entera (o rompe) en tiempo de compilación, no en tiempo de ejecución.
📝 Actividad: CE-S6-001
Nombre: API Client &amp; Type Generation (Auto-sync) Dominio: Integration / Architecture Story Points: 1 Dependencias: Backend corriendo en localhost:8000 Prioridad: P0 (Bloqueante para todo el Sprint 6)
🚀 Prompt Optimizado
Contexto: Estamos integrando el Frontend (Next.js) con el Backend (FastAPI). Queremos evitar definir tipos manualmente. Usaremos la especificación OpenAPI del backend para generar el cliente TypeScript automáticamente. Esto reemplazará el archivo src/data/mockData.ts que se usó en los mockups.
Rol: Actúa como un Lead Frontend Architect obsesionado con la seguridad de tipos (Type Safety).
Tarea:
Configurar la generación de código.
Configurar el cliente HTTP base.
Crear un script de actualización.
Requisitos Técnicos:
Generador de Código (openapi-typescript-codegen):
Instala la librería como dev dependency.
Crea el script en package.json: "generate-client": "openapi --input http://localhost:8000/openapi.json --output ./src/lib/api/generated --client axios".
Nota: Esto creará servicios tipados como ProjectsService.getProjects().
Configuración de Axios (src/lib/api/config.ts):
Configura la instancia base de OpenAPI (la clase generada por la librería).
Base URL: process.env.NEXT_PUBLIC_API_URL.
Auth Interceptor:
TypeScript
// Ejemplo conceptual
OpenAPI.TOKEN = async () =&gt; {
  const session = await getSession(); // O tu lógica de auth
  return session?.accessToken || '';
};
Error Handling: Si la API devuelve 401, redirige a /login.
Integración con TanStack Query:
Como se recomendó en la revisión de arquitectura, configura el QueryClientProvider en el layout raíz.
Crea un custom hook de ejemplo useProjects() que envuelva la llamada generada:
TypeScript
export const useProjects = () =&gt; {
  return useQuery({
    queryKey: ['projects'],
    queryFn: () =&gt; ProjectsService.getProjects(), // Llamada tipada automática
  });
};
Entregable:
package.json actualizado.
Archivo src/lib/api/config.ts.
La carpeta src/lib/api/generated poblada (simulada).
Un componente de prueba que use useProjects para listar nombres reales de la BD</t>
  </si>
  <si>
    <t>Actividad: CE-S6-002
Nombre: Real Data Integration - Project List &amp; Dashboard Dominio: Frontend / Integration Story Points: 2 Dependencias: CE-S6-001 (API Client) Prioridad: P0 (Core User Flow)
🚀 Prompt Optimizado
Contexto: Tenemos los componentes visuales listos (gracias al Mockup del Sprint 4) pero muestran datos falsos estáticos. Tenemos el cliente de API generado (src/lib/api/generated). El objetivo es "hidratar" la Project List y el Project Dashboard con datos vivos del Backend. Usaremos TanStack Query para gestionar el estado de carga (isLoading), errores (isError) y caché.
Rol: Actúa como un Senior Frontend Developer experto en React Query y Patrones de Integración.
Tarea:
Crear los Hooks de Data Fetching en src/hooks/api/use-projects.ts.
Refactorizar ProjectListPage.tsx para usar estos hooks.
Refactorizar Dashboard.tsx para usar datos reales (Score, Alertas).
Requisitos Técnicos:
Hooks (src/hooks/api/use-projects.ts):
useProjects(): Llama a ProjectsService.getProjects().
useProjectStats(id): Llama a ProjectsService.getProjectStats(id) (para los KPIs del dashboard).
useCoherenceScore(id): Llama a CoherenceService.getScore(id).
Integración en Lista de Proyectos:
Sustituye mockProjects por data.
Loading State: Mientras isLoading es true, renderiza un DataTableSkeleton (filas grises parpadeando).
Error State: Si la API falla (ej. Backend apagado), muestra un Alert de Shadcn con el mensaje de error y un botón "Retry".
Mapeo de Tipos: Asegúrate de que el enum de status del backend (ACTIVE, ON_HOLD) coincida con los colores de los Badges del frontend.
Integración en Dashboard:
Conecta el componente GaugeChart al valor real del Score.
Si el score aún se está calculando (estado PENDING en backend), muestra un spinner o un mensaje "AI Analysis in Progress..." en lugar del gráfico.
Conecta las "Top Alerts" para que listen las alertas reales de severidad CRITICAL.
Eliminación de Mocks:
Identifica y elimina (o comenta) las importaciones de src/data/mockData.ts.
Entregable:
Archivos use-projects.ts, page.tsx (lista) y page.tsx (dashboard) modificados.
Captura de pantalla (mental) de la tabla cargando datos reales de la BD PostgreSQL.</t>
  </si>
  <si>
    <t>OJO con esto que borra el mock.</t>
  </si>
  <si>
    <t>Esta es la funcionalidad "Wow" del sistema. Es lo que diferencia a C2Pro de un simple Excel.
El reto técnico aquí es la Geometría: El backend nos da coordenadas (x, y, ancho, alto) basadas en el PDF original. El frontend renderiza el PDF a diferentes escalas (zoom 100%, 150%). Necesitamos una capa de traducción para que el recuadro amarillo caiga exactamente sobre la palabra "Penalización", sin importar el tamaño de la pantalla.
📝 Actividad: CE-S6-003
Nombre: PDF Viewer Integration (Real Docs &amp; Highlights) Dominio: Frontend / Visualization Story Points: 3 Dependencias: CE-S6-002 (Real Data), CE-S5-010 (Source Locator) Prioridad: P0 (Core Value Prop)
🚀 Prompt Optimizado
Contexto: Ya tenemos el componente visual del Visor PDF (con Split View y Persistencia) funcionando con datos falsos. Ahora vamos a conectarlo a la realidad. El Backend expone:
GET /documents/{id}/download: Devuelve el archivo binario (Blob) o una URL firmada (S3/Supabase).
GET /alerts?document_id={id}: Devuelve las alertas, cada una con un objeto evidence_location que contiene page_number y bbox (bounding box: [x, y, width, height]).
Rol: Actúa como un Graphics Engineer especializado en Canvas y manipulación de Documentos.
Tarea:
Sustituir el archivo PDF estático por la llamada a la API.
Implementar la capa de renderizado de Highlights (Overlay).
Sincronizar el clic en la alerta con el scroll del PDF.
Requisitos Técnicos:
Carga del Documento (useDocumentBlob):
Crea un hook que obtenga el PDF. Usa responseType: 'blob' en Axios.
Pasa este objeto URL (URL.createObjectURL(blob)) al componente &lt;Document&gt; de react-pdf.
Manejo de Errores: Si falla la carga, muestra un "Skeleton" o un mensaje "Documento no disponible".
Sistema de Coordenadas (The Hard Part):
El backend envía coordenadas normalizadas (0 a 1) o en puntos PDF (72 DPI).
Crea un componente &lt;HighlightOverlay page={page} scale={scale} /&gt;.
Este componente debe estar posicionado absolutamente sobre la página (&lt;Page&gt;) de react-pdf.
Fórmula: frontend_x = backend_x * scale.
Dibuja los recuadros usando div con borde semitransparente o un &lt;canvas&gt;.
Color Coding:
Usa el severity de la alerta para colorear el recuadro:
CRITICAL: Rojo (rgba(255, 0, 0, 0.3)).
HIGH: Naranja.
MEDIUM: Amarillo.
Interacción Bidireccional (Scroll-to-View):
Alerta -&gt; PDF: Al hacer clic en una tarjeta de alerta en el panel derecho, el visor debe saltar a la página (pageNumber) y hacer scroll suave hasta el bbox.
PDF -&gt; Alerta: Al hacer clic en un recuadro amarillo en el PDF, el panel derecho debe hacer scroll hasta la tarjeta de la alerta correspondiente y resaltarla.
Entregable:
Componente PDFViewer.tsx actualizado con integración real.
Componente auxiliar HighlightLayer.tsx.
Hooks de conexión a la API.</t>
  </si>
  <si>
    <t>Esta actividad transforma una imagen estática en una herramienta de gestión política.
En el mockup del Sprint 4, la matriz era bonita pero inerte. Ahora vamos a implementar la física: agarrar a un stakeholder, arrastrarlo de "Monitor" a "Manage Closely", y que el backend actualice sus puntuaciones de Poder e Interés automáticamente.
📝 Actividad: CE-S6-004
Nombre: Interactive Stakeholder Matrix (Drag &amp; Drop Integration) Dominio: Frontend / Visualization Story Points: 2 Dependencias: CE-S6-001 (API Client), CE-S5-010 (Stakeholder Endpoints) Prioridad: P1 (High Value)
🚀 Prompt Optimizado
Contexto: El backend ya tiene los endpoints para listar y actualizar stakeholders (PATCH /stakeholders/{id}). Necesitamos implementar la interfaz de usuario definida en los Wireframes. Usaremos la librería @dnd-kit para manejar las interacciones de arrastrar y soltar, ya que es accesible y ligera.
Rol: Actúa como un Frontend Developer experto en interfaces interactivas y accesibilidad.
Tarea:
Implementar la matriz 2x2 con zonas de caída (Drop Zones).
Implementar los Avatares arrastrables (Draggable Items).
Conectar el evento "Drop" con la API (Optimistic Update).
Requisitos Técnicos:
Librería DND:
Instala @dnd-kit/core y @dnd-kit/utilities.
Configura los sensores (Mouse, Touch, Keyboard) para accesibilidad.
Lógica de Cuadrantes (Mapping):
Define 4 zonas de caída con IDs: manage_closely, keep_satisfied, keep_informed, monitor.
Lógica de Actualización: Al soltar un avatar en un nuevo cuadrante, calcula nuevos valores por defecto para power e interest y envíalos al backend:
manage_closely -&gt; Power: 9, Interest: 9
keep_satisfied -&gt; Power: 9, Interest: 2
keep_informed -&gt; Power: 2, Interest: 9
monitor -&gt; Power: 2, Interest: 2
Optimistic UI (React Query):
Usa useMutation con onMutate.
Actualiza la caché local inmediatamente para que el avatar "salte" al nuevo sitio sin esperar a la respuesta del servidor.
Si la API falla, revierte el cambio (rollback) y muestra un error "Toast".
Componentes Visuales:
Usa los gradientes de fondo definidos en las especificaciones (ej. bg-gradient-to-br from-red-50 to-orange-50 para Manage Closely).
Los avatares deben mostrar un Badge rojo si el stakeholder es crítico.
Entregable:
Componente StakeholderMatrix.tsx completamente funcional.
Hooks de mutación en use-stakeholders.ts.</t>
  </si>
  <si>
    <t>Esta actividad convierte la base de datos abstracta en un "Mapa del Crimen".
El backend ya sabe cómo se conectan las cosas (usando NetworkX, Sprint 5). Ahora necesitamos pintar esas conexiones. Usaremos React Flow (ahora llamado @xyflow/react), que es el estándar de oro para diagramas en React. El mayor reto aquí no es pintar las cajas, sino dónde ponerlas (Layout Automático). Si las ponemos al azar, será un plato de espaguetis. Usaremos la librería dagre para organizar el grafo jerárquicamente de forma automática.
📝 Actividad: CE-S6-005
Nombre: Knowledge Graph UI (React Flow Integration) Dominio: Frontend / Visualization Story Points: 3 Dependencias: CE-S6-001 (API Client), CE-S5-005 (Backend Graph Service) Prioridad: P1 (Strategic Insight)
🚀 Prompt Optimizado
Contexto: El usuario necesita visualizar las dependencias ocultas del proyecto. El backend expone un endpoint (ej. GET /projects/{id}/graph) que devuelve una lista de Nodos (Riesgos, Tareas, Stakeholders) y Aristas (Relaciones). Vamos a crear el componente src/components/graph/KnowledgeGraph.tsx. No queremos que el usuario tenga que arrastrar nodos manualmente para ordenar; el gráfico debe auto-organizarse.
Rol: Actúa como un Data Visualization Engineer experto en Grafos Dirigidos.
Tarea:
Instalar y configurar React Flow.
Implementar el algoritmo de Layout Automático con dagre.
Crear Nodos Personalizados (Custom Nodes) para cada tipo de entidad.
Requisitos Técnicos:
Setup de Librerías:
Instala @xyflow/react (o reactflow) y dagre.
Instala lucide-react para iconos dentro de los nodos.
Nodos Personalizados (nodeTypes):
No uses los rectángulos grises por defecto. Crea componentes bonitos:
RiskNode: Rombo rojo o borde rojo. Muestra icono de alerta y severidad.
TaskNode: Rectángulo azul. Muestra barra de progreso.
StakeholderNode: Círculo verde o avatar. Muestra foto y rol.
Tip: Usa los componentes Handle de React Flow para definir los puntos de conexión.
Motor de Layout (useAutoLayout):
Crea un hook que tome los nodos/aristas crudos de la API y use dagre para calcular las coordenadas x e y.
Dirección: TB (Top-to-Bottom) o LR (Left-to-Right). Permite al usuario cambiarlo con un botón.
Interacción:
MiniMap &amp; Controls: Añade los controles de zoom y mapa de navegación.
OnNodeClick: Al hacer clic en un nodo, abre un Sheet lateral (reutilizando los paneles de detalle que ya creamos para Alertas o Stakeholders) con la información completa.
Filtrado Visual:
Añade un panel flotante con checkboxes: "Show Risks", "Show Stakeholders".
Si el usuario desmarca "Stakeholders", oculta esos nodos y sus aristas.
Entregable:
Componente KnowledgeGraph.tsx.
Hook useGraphLayout.ts.
Componentes de nodos personalizados en src/components/graph/nodes/.</t>
  </si>
  <si>
    <t>Esta actividad añade la "Voz" al sistema.
Hasta ahora, la comunicación ha sido unidireccional: El sistema analiza y te muestra alertas. Con el Chat RAG, la comunicación se vuelve bidireccional. El usuario pregunta y el sistema responde. El desafío técnico aquí es la Latencia. Un LLM tarda segundos en pensar. Si el usuario espera 10 segundos mirando una pantalla en blanco, pensará que se rompió. Por eso es obligatorio usar Streaming (efecto de máquina de escribir) para dar feedback instantáneo.
📝 Actividad: CE-S6-006
Nombre: Chat UI with Streaming Responses (RAG Client) Dominio: Frontend / AI Interaction Story Points: 3 Dependencias: CE-S6-001 (API Client), CE-S5-004 (RAG Backend) Prioridad: P1 (High User Value)
🚀 Prompt Optimizado
Contexto: El backend tiene un endpoint (probablemente POST /rag/chat) que acepta { query, project_id } y devuelve una respuesta generada por IA basada en los documentos. Vamos a implementar el componente src/components/chat/ChatWidget.tsx. Puede ser un panel lateral (Sidebar) o una ventana flotante (Floating Action Button) en la esquina inferior derecha. Necesitamos manejar Server-Sent Events (SSE) o Streaming HTTP para que el texto aparezca letra por letra.
Rol: Actúa como un AI Frontend Engineer experto en interfaces conversacionales (tipo ChatGPT).
Tarea:
Crear la interfaz de chat (Lista de mensajes + Input).
Implementar la lógica de Streaming (Fetch API + ReadableStream).
Renderizar las citas/fuentes (Citations) de forma interactiva.
Requisitos Técnicos:
Gestión de Estado (useChat):
Mantén un array messages: [{ role: 'user', content: '...' }, { role: 'assistant', content: '...' }].
Estado isStreaming: Deshabilita el input mientras se genera la respuesta.
Lógica de Streaming:
No uses axios aquí (no maneja bien streams en navegador). Usa fetch nativo.
Loop de Lectura:
TypeScript
const response = await fetch('/api/rag/chat', ...);
const reader = response.body?.getReader();
const decoder = new TextDecoder();
while (true) {
  const { done, value } = await reader.read();
  if (done) break;
  const chunk = decoder.decode(value);
  // Actualiza el último mensaje del estado añadiendo el chunk
  setMessages(prev =&gt; updateLastMessage(prev, chunk));
}
Renderizado de Citas (Source Citations):
El backend (si se implementó bien en S5) debería devolver, junto con el texto, una lista de fuentes usadas (ej. en un evento final o en metadatos).
Si la IA responde: "El contrato estipula una multa del 5% [1]", ese [1] debe ser un componente &lt;Button variant="link"&gt; que, al hacer clic, llame a una función onSourceClick(sourceId) para abrir el Visor PDF en la página exacta.
UI/UX:
Empty State: Muestra "Preguntas sugeridas" (ej. "¿Cuáles son los hitos de pago?", "¿Hay penalizaciones por retraso?").
Auto-scroll: Mantén el scroll pegado al fondo mientras se genera el texto.
Entregable:
Componente ChatWidget.tsx.
Hook personalizado useChatStream.ts.</t>
  </si>
  <si>
    <t>Esta actividad es el "Monitor de Signos Vitales" del sistema.
Dado que nuestro backend consume APIs de pago (OpenAI/Anthropic), un bug en un bucle while podría costar cientos de dólares en minutos. Este dashboard no es para el cliente final, es para nosotros (Ingeniería y Producto): necesitamos saber cuánto gastamos, qué tan rápido responden los agentes y si están fallando.
📝 Actividad: CE-S5-012
Nombre: Dashboard Observabilidad Básico (Cost &amp; Performance Monitor) Dominio: Frontend / DevOps Story Points: 2 Dependencias: CE-S2-011 (Telemetry), CE-S4-016 (Next.js Setup) Gate: Gate 7 (Operational Control)
🚀 Prompt Optimizado
Contexto: Necesitamos una página administrativa en apps/web/src/pages/admin/observability.tsx (o app/admin/observability/page.tsx si usas App Router). El objetivo es visualizar la salud de los agentes de IA. Como el endpoint de métricas agregadas del backend (/admin/stats) puede no estar listo, trabajaremos con Mock Data realista para dejar la UI terminada. Usaremos Recharts para las gráficas, ya que se integra bien con Shadcn/ui.
Rol: Actúa como un Frontend Lead enfocado en DevOps y FinOps.
Tarea:
Implementar la página de Observabilidad.
Crear componentes de KPIs y Gráficos de Coste.
Implementar una tabla de logs de actividad reciente.
Requisitos Técnicos:
KPI Grid (Tarjetas Superiores):
Total Cost (This Month): Muestra $ con comparación vs mes anterior. Si &gt; Presupuesto, texto rojo.
Token Usage: Total Input/Output tokens.
Avg Latency: Tiempo medio (ej. 3.2s).
Error Rate: % de fallos. Si &gt; 5%, alerta roja.
Gráfico de Costes (CostTrendChart):
Usa &lt;BarChart&gt; de Recharts.
Eje X: Días del mes.
Eje Y: Coste en USD.
Stacked Bars: Desglosa por modelo (gpt-4o, claude-3-5-sonnet, text-embedding-3).
Tabla de Actividad Reciente (ActivityLogTable):
Columnas: Timestamp, Agent (Risk/Stakeholder/RAG), Model, Tokens, Duration, Status (Badge Verde/Rojo).
Debe permitir filtrar por "Solo Errores".
Simulación de Datos (mock-observability.ts):
Genera un array de objetos JSON que simulen las métricas de los últimos 30 días para que los gráficos se vean poblados.
Seguridad (Placeholder):
Añade un check simple: Si el usuario no tiene rol ADMIN, redirigir a /dashboard.
Entregable: Código de observability.tsx y los componentes gráficos asociados.</t>
  </si>
  <si>
    <t>Esta actividad es el "Cinturón de Seguridad" de tu API.
Sin esto, un script malicioso (o un desarrollador junior haciendo un bucle while(true)) podría consumir tu cuota de OpenAI en 5 minutos, costándote miles de dólares. Además, garantiza que un solo Tenant (Cliente) ruidoso no ralentice el sistema para los demás.
Implementaremos un Rate Limiter Jerárquico usando Redis: Primero verifica el límite del Usuario, y luego el del Tenant.
📝 Actividad: CE-S5-013
Nombre: Rate Limiting por Tenant (Redis Middleware) Dominio: Security / Backend Operations Story Points: 1 Dependencias: Setup de Redis, Autenticación (para tener tenant_id) Gate: Gate 7 (Production Safeguards)
🚀 Prompt Optimizado
Contexto: Nuestra API consume servicios caros (LLMs). Necesitamos protegerla contra abusos y costes accidentales. Vamos a implementar un middleware en apps/api/src/middleware/rate_limiter.py. Usaremos Redis como almacén de contadores porque es rápido y atómico. El sistema debe aplicar dos niveles de restricción:
Nivel Usuario: Evita spam de una sola persona (ej. 20 req/min).
Nivel Tenant: Evita que una empresa sature el servidor (ej. 60 req/min).
Rol: Actúa como un Security Lead experto en FastAPI y sistemas distribuidos.
Tarea:
Implementar la clase RateLimitMiddleware.
Usar redis-py (versión async) para gestionar los contadores con expiración (TTL).
Requisitos Técnicos:
Estrategia "Fixed Window" (Ventana Fija):
Clave Redis: rate_limit:{type}:{id}:{minute_timestamp}.
Ejemplo: rate_limit:tenant:acme_corp:2026-01-30T10:05.
Valor: Entero (contador).
TTL: 60 segundos.
Lógica del Middleware (dispatch):
Intercepta cada request.
Excluye endpoints públicos (/health, /docs, /login).
Extrae user_id y tenant_id del token JWT (o del objeto request.state.user si ya pasó por auth).
Pipeline de Redis: Ejecuta las operaciones de incremento y lectura de forma atómica para reducir latencia.
INCR user_key
INCR tenant_key
Verificación:
Si user_count &gt; 20 -&gt; 429 Too Many Requests ("User limit exceeded").
Si tenant_count &gt; 60 -&gt; 429 Too Many Requests ("Tenant limit exceeded").
Headers de Respuesta (Standard IETF):
Si pasa: Añade headers informativos.
X-RateLimit-Limit-User: 20
X-RateLimit-Remaining-User: 15
X-RateLimit-Reset: Tiempo en segundos para la siguiente ventana.
Configurabilidad:
Define los límites como constantes o variables de entorno (RATE_LIMIT_USER_PER_MIN, RATE_LIMIT_TENANT_PER_MIN).</t>
  </si>
  <si>
    <t>Esta es la actividad fundacional del Sprint 6. Sin esto, el frontend es solo una cáscara bonita vacía.
Vamos a automatizar la creación de interfaces. En lugar de escribir manualmente interface Project { id: string ... } y arriesgarnos a que no coincida con el backend, dejaremos que el archivo openapi.json de FastAPI escriba el código por nosotros. Esto garantiza que si el Backend cambia, el Frontend se entera (o rompe) en tiempo de compilación, no en tiempo de ejecución.
📝 Actividad: CE-S6-001
Nombre: API Client &amp; Type Generation (Auto-sync) Dominio: Integration / Architecture Story Points: 1 Dependencias: Backend corriendo en localhost:8000 Prioridad: P0 (Bloqueante para todo el Sprint 6)
🚀 Prompt Optimizado
Contexto: Estamos integrando el Frontend (Next.js) con el Backend (FastAPI). Queremos evitar definir tipos manualmente. Usaremos la especificación OpenAPI del backend para generar el cliente TypeScript automáticamente. Esto reemplazará el archivo src/data/mockData.ts que se usó en los mockups.
Rol: Actúa como un Lead Frontend Architect obsesionado con la seguridad de tipos (Type Safety).
Tarea:
Configurar la generación de código.
Configurar el cliente HTTP base.
Crear un script de actualización.
Requisitos Técnicos:
Generador de Código (openapi-typescript-codegen):
Instala la librería como dev dependency.
Crea el script en package.json: "generate-client": "openapi --input http://localhost:8000/openapi.json --output ./src/lib/api/generated --client axios".
Nota: Esto creará servicios tipados como ProjectsService.getProjects().
Configuración de Axios (src/lib/api/config.ts):
Configura la instancia base de OpenAPI (la clase generada por la librería).
Base URL: process.env.NEXT_PUBLIC_API_URL.
Auth Interceptor:
TypeScript
// Ejemplo conceptual
OpenAPI.TOKEN = async () =&gt; {
  const session = await getSession(); // O tu lógica de auth
  return session?.accessToken || '';
};
Error Handling: Si la API devuelve 401, redirige a /login.
Integración con TanStack Query:
Como se recomendó en la revisión de arquitectura, configura el QueryClientProvider en el layout raíz.
Crea un custom hook de ejemplo useProjects() que envuelva la llamada generada:
TypeScript
export const useProjects = () =&gt; {
  return useQuery({
    queryKey: ['projects'],
    queryFn: () =&gt; ProjectsService.getProjects(), // Llamada tipada automática
  });
};
Entregable:
package.json actualizado.
Archivo src/lib/api/config.ts.
La carpeta src/lib/api/generated poblada (simulada).
Un componente de prueba que use useProjects para listar nombres reales de la BD.</t>
  </si>
  <si>
    <t>Esta actividad es el "Momento de la Verdad". Vamos a borrar el archivo mockData.ts y ver si el Backend realmente responde.
Si el Backend funciona, veremos una tabla llena de proyectos reales. Si no, veremos mensajes de error rojos. Conectaremos las dos vistas principales de entrada: Lista de Proyectos y Dashboard General, siguiendo la recomendación de usar TanStack Query definida en la revisión de arquitectura.
📝 Actividad: CE-S6-002
Nombre: Real Data Integration - Project List &amp; Dashboard Dominio: Frontend / Integration Story Points: 2 Dependencias: CE-S6-001 (API Client), CE-S2-010 (Wireframes) Prioridad: P0 (Core User Flow)
🚀 Prompt Optimizado
Contexto: Tenemos los componentes visuales listos (gracias al Mockup del Sprint 4) pero muestran datos falsos estáticos. Tenemos el cliente de API generado (src/lib/api/generated). El objetivo es "hidratar" la Project List y el Project Dashboard con datos vivos del Backend. Usaremos TanStack Query para gestionar el estado de carga (isLoading), errores (isError) y caché, tal como se sugirió en el plan de mejoras.
Rol: Actúa como un Senior Frontend Developer experto en React Query y Patrones de Integración.
Tarea:
Crear los Hooks de Data Fetching en src/hooks/api/use-projects.ts.
Refactorizar ProjectListPage.tsx para usar estos hooks.
Refactorizar Dashboard.tsx para usar datos reales (Score, Alertas).
Requisitos Técnicos:
Hooks (src/hooks/api/use-projects.ts):
useProjects(): Llama a ProjectsService.getProjects().
useProjectStats(id): Llama a ProjectsService.getProjectStats(id) (para los KPIs del dashboard).
useCoherenceScore(id): Llama a CoherenceService.getScore(id).
Integración en Lista de Proyectos (ProjectListPage.tsx):
Sustituye mockProjects por data proveniente del hook.
Loading State: Mientras isLoading es true, renderiza un DataTableSkeleton.
Error State: Si la API falla (ej. Backend apagado), muestra un Alert de Shadcn con el mensaje de error y un botón "Retry".
Mapeo de Tipos: Asegúrate de que el enum de status del backend (ACTIVE, ON_HOLD) coincida con los colores de los Badges del frontend definidos en el Design System.
Integración en Dashboard (Dashboard.tsx):
Conecta el componente GaugeChart al valor real del Score.
Si el score aún se está calculando (estado PENDING en backend), muestra un spinner o un mensaje "AI Analysis in Progress..." en lugar del gráfico.
Conecta las "Top Alerts" para que listen las alertas reales de severidad CRITICAL.
Eliminación de Mocks:
Identifica y elimina (o comenta) las importaciones de src/data/mockData.ts.
Entregable:
Archivos use-projects.ts, ProjectListPage.tsx y Dashboard.tsx modificados.
Captura de pantalla (mental) de la tabla cargando datos reales de la BD PostgreSQL.</t>
  </si>
  <si>
    <t>sta actividad marca el inicio oficial del Sprint 6: Visualización Avanzada.
Vamos a dar vida a la pantalla principal de la aplicación. Hasta ahora, el Dashboard era una carcasa vacía o con datos falsos (mockData). Ahora, conectaremos el Frontend con el servicio de Coherencia (CoherenceService) del Backend para mostrar la salud real del proyecto en tiempo real.
El componente estrella es el Gauge Chart (Medidor de Coherencia), que debe ser visualmente impactante, animado y con códigos de color estrictos según las especificaciones de UX.
📝 Actividad: CE-S6-001
Nombre: Vista Dashboard + Score Gauge (Real Data Integration) Dominio: Frontend / Visualization Story Points: 2 Dependencias: CE-S3-007 (Backend Score API), CE-S2-010 (Wireframes) Prioridad: P0 (Bloqueante - Main Entry Point)
🚀 Prompt Optimizado
Contexto: Estamos implementando la página principal apps/web/src/pages/dashboard.tsx. Necesitamos consumir el endpoint GET /projects/{id}/score y visualizar el resultado. La métrica clave es el Coherence Score (0-100). Usaremos Recharts para el gráfico (Gauge) y TanStack Query para la gestión de estado asíncrono.
Rol: Actúa como un Frontend Lead experto en Data Visualization y React Performance.
Tarea:
Crear el Hook de Datos useProjectScore.
Implementar el componente visual GaugeChart.tsx.
Ensamblar la página Dashboard con manejo de estados de carga (Skeletons).
Requisitos Técnicos:
Data Fetching (src/hooks/api/use-dashboard.ts):
Implementa useProjectScore(projectId) usando useQuery.
Debe manejar isLoading, isError y data.
Fallback: Si el backend devuelve un error, el score por defecto es 0 o null.
Componente Gauge (src/components/dashboard/GaugeChart.tsx):
Usa RadialBarChart de la librería recharts.
Geometría: Semicírculo (startAngle: 180, endAngle: 0) o Círculo completo con corte (según preferencia visual moderna).
Lógica de Colores Semánticos:
Score &lt; 60: Rojo (hsl(0, 84%, 60%) - Critical).
Score 60-79: Ámbar (hsl(38, 92%, 50%) - Warning).
Score &gt;= 80: Verde (hsl(142, 76%, 36%) - Healthy).
Animación: La barra debe "llenarse" al cargar (propiedad isAnimationActive={true}).
Dashboard Layout (src/pages/dashboard.tsx):
Integra el GaugeChart en la tarjeta principal.
Muestra KPIs secundarios (Presupuesto, Alertas) usando datos reales si existen, o Skeletons (&lt;Skeleton className="h-4 w-[250px]" /&gt;) si están cargando.
Performance: La carga inicial debe ser &lt; 2 segundos (LCP). Evita "Layout Shift" reservando el espacio del gráfico.
Drill-down (Interacción):
Al hacer clic en el Gauge, debe abrir un Sheet (panel lateral) que muestre el desglose del puntaje por categorías (Legal, Financiero, Técnico), tal como se sugirió en la revisión de mockups.
Entregable:
Código de GaugeChart.tsx.
Código de la página dashboard.tsx conectada.
Hook use-dashboard.ts.</t>
  </si>
  <si>
    <t>Esta actividad conecta la "puerta de entrada" de la aplicación con la realidad.
Ya tenemos el diseño visual aprobado del Sprint 4. Ahora, en lugar de mostrar proyectos falsos ("Proyecto Alpha", "Proyecto Beta"), mostraremos los registros reales que residen en la base de datos PostgreSQL del Backend, utilizando el cliente de API que acabamos de configurar.
📝 Actividad: CE-S6-002
Nombre: Vista Lista Proyectos (Real Data &amp; Filtering) Dominio: Frontend / Integration Story Points: 1 Dependencias: CE-S6-001 (API Client), CE-S3-008 (Backend Endpoints) Prioridad: P0 (Core Navigation)
🚀 Prompt Optimizado
Contexto: La página apps/web/src/pages/projects/index.tsx actualmente usa mockProjects del archivo data/mockData.ts. Necesitamos refactorizarla para consumir el endpoint GET /projects usando el cliente generado. Debemos mantener la funcionalidad de la DataTable (ordenación, filtrado, paginación) definida en los wireframes.
Rol: Actúa como un Frontend Developer experto en TanStack Query y Shadcn/ui.
Tarea:
Implementar el hook useProjects.
Conectar la DataTable a los datos reales.
Implementar filtros y estados de carga.
Requisitos Técnicos:
Data Fetching (src/hooks/api/use-projects.ts):
Crea el hook useProjects(params) que envuelva ProjectsService.getProjects().
Configura staleTime: 5 * 60 * 1000 (5 minutos) para evitar llamadas excesivas al volver a la lista.
Integración en ProjectListPage:
Loading State: Mientras isLoading es true, muestra DataTableSkeleton (filas grises pulsantes) para evitar el "layout shift".
Error State: Si isError es true, muestra un componente Alert (variant="destructive") con un botón "Reintentar".
Empty State: Si data está vacío, muestra el componente ilustrativo "No projects found" sugerido en las guías de diseño.
Columnas y Datos:
Mapea los campos del backend a las columnas de la tabla:
status: Mapea el ENUM del backend (IN_PROGRESS, ON_HOLD) a los variantes del Badge (default, warning).
coherence_score: Renderiza la barra de progreso y el texto coloreado según el valor (&lt;60 rojo, &gt;80 verde).
updated_at: Formatea la fecha usando date-fns (ej. "Hace 2 días").
Interacción:
Al hacer clic en una fila, usa router.push(/projects/${id}) para navegar al Dashboard del proyecto.
Entregable:
Código refactorizado de projects/index.tsx.
Hook use-projects.ts.</t>
  </si>
  <si>
    <t>Esta es la funcionalidad "Wow" del sistema. Es lo que diferencia a C2Pro de un simple Excel.
El reto técnico aquí es la Geometría: El backend nos da coordenadas (x, y, ancho, alto) basadas en el PDF original. El frontend renderiza el PDF a diferentes escalas (zoom 100%, 150%). Necesitamos una capa de traducción para que el recuadro amarillo caiga exactamente sobre la palabra "Penalización", sin importar el tamaño de la pantalla, tal como se identificó en la revisión de los mockups.
📝 Actividad: CE-S6-003
Nombre: PDF Viewer Integration (Real Docs &amp; Highlights) Dominio: Frontend / Visualization Story Points: 3 Dependencias: CE-S6-002 (Real Data), CE-S5-010 (Source Locator) Prioridad: P0 (Core Value Prop)
🚀 Prompt Optimizado
Contexto: Ya tenemos el componente visual del Visor PDF (con Split View y Persistencia) funcionando con datos falsos. Ahora vamos a conectarlo a la realidad. El Backend expone:
GET /documents/{id}/download: Devuelve el archivo binario (Blob) o una URL firmada.
GET /alerts?document_id={id}: Devuelve las alertas, cada una con un objeto evidence_location que contiene page_number y bbox (bounding box: [x, y, width, height]).
Rol: Actúa como un Graphics Engineer especializado en Canvas y manipulación de Documentos con React.
Tarea:
Sustituir el "falso PDF" por la librería react-pdf real.
Implementar la capa de renderizado de Highlights (Overlay).
Sincronizar el clic en la alerta con el scroll del PDF.
Requisitos Técnicos:
Carga del Documento (useDocumentBlob):
Crea un hook que obtenga el PDF real. Usa responseType: 'blob' en Axios.
Pasa el objeto URL (URL.createObjectURL(blob)) al componente &lt;Document&gt; de react-pdf, siguiendo la recomendación de la revisión técnica.
Manejo de Errores: Si falla la carga, muestra un "Skeleton" o un mensaje "Documento no disponible".
Sistema de Coordenadas (Highlight Layer):
El backend envía coordenadas en puntos PDF estándar.
Crea un componente &lt;HighlightOverlay page={page} scale={scale} /&gt; que se superponga absolutamente sobre la &lt;Page&gt; de react-pdf.
Fórmula de Renderizado: frontend_x = backend_x * scale. Debes recalcular esto cada vez que cambia el zoom.
Dibuja los recuadros usando div con posicionamiento absoluto.
Color Coding:
Usa el severity de la alerta para colorear el recuadro según el Design System:
CRITICAL: Rojo (hsl(0, 84%, 60%) con opacidad).
HIGH: Ámbar (hsl(38, 92%, 50%) con opacidad).
MEDIUM: Amarillo/Gris.
Interacción Bidireccional (Scroll-to-View):
Alerta -&gt; PDF: Al hacer clic en una tarjeta de alerta en el panel derecho, el visor debe saltar a la página (pageNumber) y hacer scroll suave hasta el bbox específico.
PDF -&gt; Alerta: Al hacer clic en un recuadro resaltado en el PDF, el panel derecho debe hacer scroll hasta la tarjeta de la alerta correspondiente y resaltarla (activeHighlight).
Entregable:
Componente PDFViewer.tsx actualizado con react-pdf.
Componente auxiliar HighlightLayer.tsx con la lógica de escalado.
Hooks de conexión a la API de documentos.</t>
  </si>
  <si>
    <t>Esta es la funcionalidad "Wow" del sistema. Es lo que diferencia a C2Pro de un simple Excel.
El reto técnico aquí es la Geometría: El backend nos da coordenadas (x, y, ancho, alto) basadas en el PDF original. El frontend renderiza el PDF a diferentes escalas (zoom 100%, 150%). Necesitamos una capa de traducción para que el recuadro amarillo caiga exactamente sobre la palabra "Penalización", sin importar el tamaño de la pantalla, tal como se identificó en la revisión técnica.
📝 Actividad: CE-S6-003
Nombre: Evidence Viewer Links Cláusulas (Real PDF &amp; Highlights) Dominio: Frontend / Visualization Story Points: 2 Dependencias: CE-S6-002 (Real Data), CE-S5-010 (Source Locator), CE-S4-009 (Viewer Base) Prioridad: P0 (Core Value Prop)
🚀 Prompt Optimizado
Contexto: Ya tenemos el componente visual del Visor PDF (con Split View y Persistencia) funcionando con datos falsos. Ahora vamos a conectarlo a la realidad. El Backend expone:
GET /documents/{id}/download: Devuelve el archivo binario (Blob) o una URL firmada.
GET /alerts?document_id={id}: Devuelve las alertas, cada una con un objeto evidence_location que contiene page_number y bbox (bounding box: [x, y, width, height]).
Rol: Actúa como un Graphics Engineer especializado en Canvas y manipulación de Documentos con React.
Tarea:
Sustituir el "falso PDF" por la librería react-pdf real.
Implementar la capa de renderizado de Highlights (Overlay) con cálculo de coordenadas.
Sincronizar el clic en la alerta con el scroll del PDF.
Requisitos Técnicos:
Carga del Documento (useDocumentBlob):
Crea un hook que obtenga el PDF real. Usa responseType: 'blob' en Axios.
Pasa el objeto URL (URL.createObjectURL(blob)) al componente &lt;Document&gt; de react-pdf, siguiendo la recomendación de la revisión técnica.
Manejo de Errores: Si falla la carga, muestra un "Skeleton" o un mensaje "Documento no disponible".
Sistema de Coordenadas (Highlight Layer):
El backend envía coordenadas en puntos PDF estándar.
Crea un componente &lt;HighlightOverlay page={page} scale={scale} /&gt; que se superponga absolutamente sobre la &lt;Page&gt; de react-pdf.
Fórmula de Renderizado: frontend_x = backend_x * scale. Debes recalcular esto cada vez que cambia el zoom (scale) del visor.
Dibuja los recuadros usando div con posicionamiento absoluto (absolute) y z-index superior al canvas del PDF.
Color Coding:
Usa el severity de la alerta para colorear el recuadro según el Design System:
CRITICAL: Rojo (hsl(0, 84%, 60%) con opacidad 0.3).
HIGH: Ámbar (hsl(38, 92%, 50%) con opacidad 0.3).
MEDIUM: Amarillo/Gris.
Interacción Bidireccional (Scroll-to-View):
Alerta -&gt; PDF: Al hacer clic en una tarjeta de alerta en el panel derecho, el visor debe saltar a la página (pageNumber) y hacer scroll suave hasta el bbox específico.
PDF -&gt; Alerta: Al hacer clic en un recuadro resaltado en el PDF, el panel derecho debe hacer scroll hasta la tarjeta de la alerta correspondiente y resaltarla (activeHighlight).
Entregable:
Componente PDFViewer.tsx actualizado con react-pdf y lógica de Highlights reales.
Componente auxiliar HighlightLayer.tsx con la lógica de escalado geométrico.</t>
  </si>
  <si>
    <t>sta actividad convierte el "Centro de Alertas" de un boceto visual a una herramienta de gestión operativa funcional.
El Backend ya está generando alertas críticas (S5-009) y tenemos el diseño visual aprobado (S4). Ahora debemos conectar los cables para que el Contract Manager pueda filtrar por "Solo Críticas", revisar la evidencia y marcar problemas como "Resueltos".
📝 Actividad: CE-S6-004
Nombre: Panel Alertas Filtros Severidad (Alerts Center Integration) Dominio: Frontend / Integration Story Points: 1 Dependencias: CE-S6-003 (Evidence Viewer), CE-S6-001 (API Client) Prioridad: P0 (Core User Flow)
🚀 Prompt Optimizado
Contexto: La página apps/web/src/pages/alerts.tsx actualmente muestra datos estáticos (mockAlerts). Necesitamos conectarla al endpoint GET /alerts del Backend. Además, debemos implementar la lógica de negocio crítica definida en la revisión de mockups: validaciones específicas por severidad y acciones en lote (Bulk Actions) seguras.
Rol: Actúa como un Frontend Developer experto en gestión de estado compleja y validación de formularios.
Tarea:
Implementar el hook useAlerts con soporte para filtros.
Refactorizar AlertsCenter para usar datos reales.
Implementar la lógica de "Bulk Actions" y "Resolución" con validación.
Requisitos Técnicos:
Data Fetching (useAlerts):
El hook debe aceptar parámetros de filtrado: severity (array), status (array), project_id.
Usa keepPreviousData: true en React Query para evitar parpadeos al filtrar.
Filtros Avanzados (DataTableFacetedFilter):
Implementa los filtros por columnas visuales que ya diseñamos en Shadcn UI.
Las opciones deben ser dinámicas (ej. mostrar contadores reales de cuántas alertas hay de cada tipo).
Lógica de Resolución (Gate 6 - Human-in-the-Loop):
Validación por Severidad: Al abrir el diálogo de resolución, aplica las reglas definidas:
Critical: Requiere nota de &gt;50 caracteres y checkbox de confirmación.
High: Requiere nota de &gt;20 caracteres.
Medium/Low: Nota opcional.
Conecta el botón "Confirm" a PATCH /alerts/{id}.
Bulk Actions Seguras:
Permite seleccionar múltiples filas.
Si el usuario selecciona alertas CRITICAL y hace clic en "Bulk Resolve", el sistema debe bloquear la acción o mostrar un warning: "2 Critical alerts require individual review". Solo las alertas Medium/Low pueden resolverse en lote.
Entregable:
Archivo alerts.tsx totalmente integrado.
Hook use-alerts.ts.
Componente ResolveAlertDialog.tsx con la lógica de validación implementada.</t>
  </si>
  <si>
    <t>Esta actividad transforma una imagen estática en una herramienta de gestión política real.
En el mockup del Sprint 4, la matriz era visualmente correcta pero inerte. Ahora vamos a implementar la "física": agarrar a un stakeholder, arrastrarlo de "Monitor" a "Manage Closely", y que el backend actualice sus puntuaciones de Poder e Interés automáticamente.
📝 Actividad: CE-S6-005
Nombre: Stakeholder Map Matriz Poder/Interés (Drag &amp; Drop Integration) Dominio: Frontend / Visualization Story Points: 2 Dependencias: CE-S6-001 (API Client), CE-S5-010 (Stakeholder Endpoints) Prioridad: P0 (High User Value)
🚀 Prompt Optimizado
Contexto: El backend ya tiene los endpoints para listar y actualizar stakeholders (PATCH /stakeholders/{id}). Necesitamos implementar la interfaz de usuario definida en los Wireframes. Usaremos la librería @dnd-kit para manejar las interacciones de arrastrar y soltar, ya que es accesible y ligera, tal como se recomendó en la revisión de arquitectura.
Rol: Actúa como un Frontend Developer experto en interfaces interactivas y accesibilidad.
Tarea:
Implementar la matriz 2x2 con zonas de caída (Drop Zones).
Implementar los Avatares arrastrables (Draggable Items).
Conectar el evento "Drop" con la API (Optimistic Update).
Requisitos Técnicos:
Librería DND:
Instala @dnd-kit/core y @dnd-kit/sortable (o utilities).
Configura los sensores (Mouse, Touch, Keyboard) para garantizar accesibilidad completa.
Lógica de Cuadrantes (Mapping):
Define 4 zonas de caída con IDs: manage_closely (High/High), keep_satisfied (High/Low), keep_informed (Low/High), monitor (Low/Low).
Lógica de Actualización: Al soltar un avatar en un nuevo cuadrante, calcula nuevos valores por defecto para power e interest y envíalos al backend:
manage_closely -&gt; Power: 9, Interest: 9
keep_satisfied -&gt; Power: 9, Interest: 2
keep_informed -&gt; Power: 2, Interest: 9
monitor -&gt; Power: 2, Interest: 2
Optimistic UI (React Query):
Usa useMutation con onMutate.
Actualiza la caché local inmediatamente para que el avatar "salte" al nuevo sitio sin esperar a la respuesta del servidor.
Si la API falla, revierte el cambio (rollback) y muestra un error "Toast".
Componentes Visuales:
Usa los gradientes de fondo definidos en las especificaciones (ej. bg-gradient-to-br from-red-50 to-orange-50 para Manage Closely).
Popover al Hover: Implementa el tooltip enriquecido que muestra los detalles del stakeholder (Nombre, Rol, Empresa) al pasar el mouse por encima del avatar.
Entregable:
Componente StakeholderMatrix.tsx completamente funcional e interactivo.
Hook de mutación useUpdateStakeholder en src/hooks/api/use-stakeholders.ts.</t>
  </si>
  <si>
    <t>Esta actividad completa la gobernanza del proyecto. Es donde se define "quién paga los platos rotos" si algo sale mal.
El mockup del Sprint 4 nos dio una tabla visualmente excelente con detección de errores (Gaps). Ahora debemos conectar esa tabla al backend para que, cuando el usuario asigne a "Juan" como "Accountable" de la "Cimentación", el sistema guarde esa relación y marque la asignación como verificada por un humano (HITL).
📝 Actividad: CE-S6-006
Nombre: RACI Viewer Editable (Matrix Integration &amp; Validation) Dominio: Frontend / Governance Story Points: 1 Dependencias: CE-S6-001 (API Client), CE-S5-011 (RACI Endpoints) Prioridad: P0 (Core Governance)
🚀 Prompt Optimizado
Contexto: El backend expone la matriz en GET /projects/{id}/raci y permite actualizaciones en PUT /assignments. El frontend apps/web/src/components/RACIViewer.tsx debe renderizar esta matriz. El reto es que es una tabla dinámica: las columnas dependen de los Stakeholders existentes. Además, necesitamos la primera columna (WBS) congelada (Sticky) para que no se pierda al hacer scroll horizontal.
Rol: Actúa como un Frontend Developer experto en tablas de datos complejas y UX.
Tarea:
Implementar el hook useRaciMatrix.
Construir la Tabla RACI con columnas dinámicas y edición inline.
Implementar la validación de reglas en tiempo real (Client-side Gaps).
Requisitos Técnicos:
Data Fetching &amp; Transformation:
El backend devuelve una estructura jerárquica. Transfórmala en un array plano de filas para facilitar el renderizado de la tabla.
Estructura de fila: { task_id, wbs_code, task_name, [stakeholder_id_1]: 'R', [stakeholder_id_2]: 'A', ... }.
Componente RACICell (Edición):
Al hacer clic en una celda, muestra un Popover con las opciones: R (Responsible), A (Accountable), C (Consulted), I (Informed), - (None).
Optimistic Update: Al seleccionar una opción, actualiza la UI inmediatamente. Si la API falla, revierte el cambio.
Colores Semánticos: Usa las clases definidas en los wireframes (R=Azul, A=Rojo, etc.).
Detección de Gaps (Validación):
Añade una columna final "Validation".
Calcula en tiempo real:
Falta A: Si una fila no tiene ninguna 'A' -&gt; Badge Rojo "No Accountable".
Múltiples A: Si tiene &gt;1 'A' -&gt; Badge Rojo "Multiple Accountable".
Falta R: Si no tiene 'R' -&gt; Badge Ámbar "No Responsible".
UX Avanzada:
Sticky Column: La columna "WBS Task" debe tener position: sticky; left: 0 y un z-index superior para mantenerse visible al hacer scroll hacia los stakeholders de la derecha.
Entregable:
Componente RACIViewer.tsx funcional.
Hook use-raci.ts con lógica de mutación optimista.</t>
  </si>
  <si>
    <t>Esta actividad es el núcleo del Gate 6 (Validación Humana).
La IA no es perfecta. Si el sistema extrae "30 días" pero el contrato dice "30 días hábiles", el usuario debe corregirlo. Este modal no es un simple window.confirm(). Es una interfaz de auditoría que compara "Lo que dice el PDF" (izquierda) contra "Lo que entendió la IA" (derecha), forzando al humano a asumir la responsabilidad si la confianza es baja.
📝 Actividad: CE-S6-007
Nombre: Modal Human-in-Loop Confirmación (Approval Workflow) Dominio: Frontend / Governance Story Points: 0.5 Dependencias: CE-S6-001 (API Client), CE-S6-003 (Evidence Viewer) Gate: Gate 6 (Human Validation)
🚀 Prompt Optimizado
Contexto: Necesitamos implementar el componente reutilizable apps/web/src/components/common/ApprovalModal.tsx. Este modal se usará en el Evidence Viewer (para validar extracciones) y en el Alerts Center (para resolver alertas críticas). Seguiremos estrictamente las reglas definidas en la revisión de mockups.
Rol: Actúa como un Frontend Developer experto en UX y prevención de errores.
Tarea:
Crear el componente ApprovalModal.
Implementar la lógica de comparación "Side-by-Side".
Implementar las reglas de validación condicional (Confidence &lt; 90%).
Requisitos Técnicos:
Layout Side-by-Side:
Izquierda (Original): Muestra el texto original del PDF (solo lectura, fondo grisáceo).
Derecha (AI Output): Textarea editable con el valor propuesto por la IA.
Lógica de Confianza (The Safety Lock):
Recibe una prop confidence (0-100).
Si confidence &lt; 90:
Muestra una alerta amarilla: "Low confidence extraction. Please verify.".
Muestra un Checkbox Obligatorio: "I confirm this data is accurate".
Deshabilita el botón "Approve" hasta que el checkbox esté marcado.
Validación de Edición:
Si el usuario modifica el texto de la derecha (es decir, original !== current), aparece un campo obligatorio: "Validation Notes".
El usuario debe explicar por qué está corrigiendo a la IA.
Acciones:
Approve: Llama a onApprove(newValue, notes).
Reject: Abre un sub-diálogo o cambia el estado para pedir "Rejection Reason" y llama a onReject(reason).
Entregable:
Componente ApprovalModal.tsx.
Story de Storybook (opcional) o ejemplo de uso.</t>
  </si>
  <si>
    <t>Esta actividad transforma la base de datos relacional en un "Mapa del Crimen".
El backend ya "sabe" cómo se conectan las cosas (usando NetworkX, desarrollado en el Sprint 5). Ahora necesitamos pintar esas conexiones para que el usuario entienda el efecto dominó: Cómo un Retraso (Riesgo) impacta a la Cimentación (WBS) y quién es el responsable (Stakeholder). Usaremos React Flow (ahora llamado @xyflow/react), el estándar de oro para diagramas en React. El reto no es pintar las cajas, sino dónde ponerlas (Layout Automático) para evitar un plato de espaguetis visual.
📝 Actividad: CE-S6-009
Nombre: Knowledge Graph UI (React Flow Integration) Dominio: Frontend / Visualization Story Points: 3 Dependencias: CE-S6-001 (API Client), CE-S6-008 (WBS Data) Prioridad: P1 (Strategic Insight)
🚀 Prompt Optimizado
Contexto: El usuario necesita visualizar las dependencias ocultas del proyecto. El backend expone un endpoint (ej. GET /projects/{id}/graph) que devuelve una lista de Nodos (Riesgos, Tareas, Stakeholders) y Aristas (Relaciones). Vamos a crear el componente src/components/graph/KnowledgeGraph.tsx. No queremos que el usuario tenga que arrastrar nodos manualmente para ordenar; el gráfico debe auto-organizarse jerárquicamente.
Rol: Actúa como un Data Visualization Engineer experto en Grafos Dirigidos y React Performance.
Tarea:
Instalar y configurar React Flow.
Implementar el algoritmo de Layout Automático con dagre.
Crear Nodos Personalizados (Custom Nodes) para cada tipo de entidad.
Requisitos Técnicos:
Setup de Librerías:
Instala @xyflow/react (o reactflow) y dagre.
Instala lucide-react para iconos dentro de los nodos.
Nodos Personalizados (nodeTypes):
No uses los rectángulos grises por defecto. Crea componentes visualmente distintos según el Design System:
RiskNode: Borde rojo, icono de alerta (TriangleAlert), muestra severidad.
TaskNode: Borde azul, muestra ID del WBS y barra de progreso mini.
StakeholderNode: Circular o con Avatar, borde verde.
Tip: Usa los componentes Handle de React Flow para definir los puntos de conexión (entradas arriba, salidas abajo para layout jerárquico).
Motor de Layout (useAutoLayout):
Crea un hook que tome los nodos/aristas crudos de la API y use dagre para calcular las coordenadas x e y.
Dirección: Configurable TB (Top-to-Bottom) o LR (Left-to-Right).
Espaciado: Asegura suficiente ranksep y nodesep para que las líneas no se crucen demasiado.
Interacción:
MiniMap &amp; Controls: Añade los controles de zoom, fit view y mapa de navegación en la esquina.
OnNodeClick: Al hacer clic en un nodo, debe abrir un Sheet lateral (reutilizando los paneles de detalle de Alertas o WBS) con la información completa.
Filtrado Visual:
Añade un panel flotante con checkboxes: "Show Risks", "Show Stakeholders".
Si el usuario desmarca "Stakeholders", filtra esos nodos y sus aristas asociadas y re-calcula el layout suavemente.
Entregable:
Componente KnowledgeGraph.tsx.
Hook useGraphLayout.ts con la lógica de dagre.
Directorio src/components/graph/nodes/ con los 3 tipos de nodos personalizados.</t>
  </si>
  <si>
    <t>Esta actividad es el "pegamento" lógico del sistema.
Para que la funcionalidad "Click en Tarea -&gt; Ver Contrato" (S6-003) funcione, no basta con que la IA diga "Esto es parte de la Cláusula 5". Necesitamos que, a nivel de base de datos, la fila WBS_ITEM tenga una Foreign Key apuntando a la fila CLAUSE. Esta actividad convierte las referencias de texto vago de la IA (ej. "según cl. 4.2") en IDs de base de datos firmes (UUIDs).
📝 Actividad: CE-S6-010
Nombre: Propagar clause_id a WBS Items (Logic Linker) Dominio: Backend / Data Integrity Story Points: 1 Dependencias: CE-S3-005 (Extractors), CE-S6-008 (WBS Endpoints) Gate: Gate 4 (Traceability)
🚀 Prompt Optimizado
Contexto: El extractor de WBS (Sprint 3) devuelve una lista de tareas. A menudo, incluye un campo de texto como source_ref: "Cláusula 5.1". Tenemos otra tabla clauses poblada por el Parser de Documentos. Necesitamos un servicio en apps/api/src/services/wbs_service.py que, tras crear los items del WBS, realice una pasada de "Reconciliación" para llenar la columna clause_id (FK).
Rol: Actúa como un Backend Lead experto en integridad referencial y SQL.
Tarea:
Implementar la función link_wbs_to_clauses(project_id).
Implementar la lógica de búsqueda heurística (Matching).
Requisitos Técnicos:
Lógica de Matching:
Itera sobre todos los wbs_items del proyecto que tengan clause_id nulo pero source_ref con texto.
Paso 1 (Exacto): Busca en la tabla clauses si label coincide exactamente (ej. "5.1").
Paso 2 (Regex): Si falla, usa Regex para extraer números del source_ref (ej. de "Ver sección 5.1.2" extrae "5.1.2") y busca de nuevo.
Paso 3 (Update): Si encuentra coincidencia, actualiza wbs_item.clause_id = clause.id.
Manejo de Errores:
Si no encuentra la cláusula, deja el campo nulo (o marca un flag requires_manual_link). No rompas la ejecución.
Endpoint Trigger:
Esta función debe llamarse automáticamente al final del proceso de POST /projects/{id}/analyze (S6-009), justo después de que la IA genere el WBS.
Entregable:
Función en wbs_service.py.
Test unitario con casos de prueba: "Clause 5", "5.1", "Sec. 3.2.1".</t>
  </si>
  <si>
    <t>Esta actividad soluciona el problema de la "pantalla congelada" al subir archivos grandes.
Subir un contrato de 200 páginas y esperar a que el OCR termine vía HTTP es imposible (timeout seguro). Implementaremos el patrón Fire-and-Forget para la subida: El usuario sube el archivo, recibe un "OK" inmediato, y el servidor se queda trabajando en segundo plano procesando el texto.
📝 Actividad: CE-S6-015
Nombre: Async Processing Parsing Background (Upload Pipeline) Dominio: Backend / Async Architecture Story Points: 1 Dependencias: CE-S3-006 (Orchestrator), Redis, Celery Prioridad: P0 (Core UX/Stability)
🚀 Prompt Optimizado
Contexto: El parsing de documentos (OCR + Extracción de Texto) es lento. Necesitamos mover esta lógica fuera del ciclo de petición/respuesta HTTP. Vamos a crear la tarea en apps/api/src/tasks/parsing_tasks.py que será consumida por los workers de Celery. El flujo es:
API recibe PDF -&gt; Guarda en disco/S3 -&gt; Crea registro en DB (Status: UPLOADED) -&gt; Dispara Tarea Celery -&gt; Retorna 202 Accepted.
Worker -&gt; Recibe ID -&gt; Pone Status PARSING -&gt; Ejecuta LlamaParse/OCR -&gt; Guarda texto en Vector DB -&gt; Pone Status READY.
Rol: Actúa como un Backend Lead experto en Celery y gestión de colas.
Tarea:
Configurar la tarea de Celery process_document_file.
Gestionar las transiciones de estado en la base de datos.
Implementar manejo de errores robusto (para no dejar documentos en el limbo).
Requisitos Técnicos:
Definición de la Tarea:
Usa el decorador @shared_task(name="process_document").
Argumentos: document_id.
Ciclo de Vida (State Management):
Inicio: Actualiza document.status = "PARSING".
Proceso: Llama al servicio de parsing (creado en S3).
Éxito:
Guarda el resultado (texto plano o chunks) en la BD.
Genera los embeddings (si no se hace en otro paso).
Actualiza document.status = "READY".
Error (try/except):
Si falla el parser, captura la excepción.
Actualiza document.status = "FAILED".
Guarda el error en document.error_message para debugging.
Idempotencia:
Verifica si el documento ya está READY o PARSING antes de empezar, para evitar trabajo duplicado si la cola re-entrega el mensaje.
Entregable:
Archivo parsing_tasks.py.
Snippet de cómo llamar a esta tarea desde el endpoint de Upload (routers/documents.py).</t>
  </si>
  <si>
    <t>sta actividad es el puente final entre la inteligencia de la IA y el usuario.
El Coherence Engine ha detectado los problemas, el AlertGenerator los ha formateado, y ahora la API debe entregarlos al Frontend de manera ordenada. No podemos enviar 500 alertas de golpe; necesitamos filtrar, paginar y, lo más importante, permitir que el usuario interactúe con ellas (Marcarlas como resueltas o falsos positivos).
Aquí tienes el prompt optimizado para un Backend Lead.
📝 Actividad: CE-S4-009
Nombre: Endpoints /projects/{id}/alerts (Management &amp; Resolution) Dominio: Backend / API Story Points: 1 Dependencias: CE-S4-006 (Alert Generator), CE-S2-001 (Schemas) Prioridad: P0 (Core Feature)
🚀 Prompt Optimizado
Contexto: El motor de coherencia ha generado alertas en la base de datos. Ahora necesitamos exponerlas al Frontend mediante una API RESTful en apps/api/src/routers/alerts.py. Este no es un simple endpoint de lectura; es un Panel de Gestión de Riesgos. El usuario debe poder:
Ver las alertas filtradas por severidad ("Muéstrame solo lo Crítico").
Entender la evidencia (JSON estructurado).
Actuar sobre la alerta: Resolverla (si ya arregló el problema) o Descartarla (si cree que la IA se equivoca). Esto es vital para el Feedback Loop.
Rol: Actúa como un Backend Lead experto en diseño de APIs limpias y filtrado de datos.
Tarea: Implementar el router de alertas.
Requisitos Técnicos:
Endpoint de Listado (GET /projects/{id}/alerts):
Filtros (Query Params):
severity: List[str] (ej. ?severity=CRITICAL&amp;severity=HIGH).
status: List[str] (ej. ?status=OPEN). Por defecto, mostrar solo OPEN.
category: str (ej. COST, SCHEDULE, SCOPE).
Ordenamiento: Las alertas CRITICAL deben aparecer siempre primero.
Respuesta: Lista de objetos AlertRead. Asegúrate de incluir source_clause_id y affected_object_ids para que el frontend pueda generar los hipervínculos.
Endpoint de Actualización (PATCH /alerts/{alert_id}):
Permitir modificar solo el status y añadir un user_comment.
Estados Válidos: OPEN -&gt; RESOLVED (Usuario dice que lo arregló) | DISMISSED (Usuario dice que es falso positivo).
Seguridad: Verificar que el usuario tiene permisos de escritura en el proyecto al que pertenece la alerta.
Endpoint de Detalle (GET /alerts/{alert_id}):
Retornar el objeto completo, incluyendo el evidence_json detallado (que en el listado podría ir resumido si es muy grande).
Optimización SQL:
Asegúrate de tener índices en project_id, status y severity en la tabla de alertas, ya que este endpoint será consultado frecuentemente.
Entregable: Python del router alerts.py con los modelos Pydantic de Request/Response necesarios.</t>
  </si>
  <si>
    <t>codex y luego claude</t>
  </si>
  <si>
    <t>Revisando el Roadmap original y las actividades que hemos desplegado, efectivamente saltamos la implementación explícita de LangGraph.
En el Sprint 3 (CE-S3-006) definimos el "Orquestador" de forma conceptual, y en el Sprint 5 hicimos el RAG. Pero para que este sistema sea realmente "Agentic" (capaz de tomar decisiones, reintentar y pedir feedback humano), no basta con if/else en Python. Necesitamos una máquina de estados.
LangGraph es la pieza clave para manejar el flujo: Ingesta -&gt; Router -&gt; Agente Riesgos / Agente WBS -&gt; Validación Humana -&gt; Base de Datos.
Vamos a recuperar esa actividad crítica ahora mismo. Es el "cerebro" que une todos los servicios que has creado. Sin esto, los agentes son islas desconectadas.
📝 Actividad: CE-S5-016
Nombre: Multi-Agent Orchestration con LangGraph (The Brain) Dominio: Backend / AI Architecture Story Points: 3 Dependencias: CE-S3-001/2/3 (Agents), CE-S6-007 (Human Approval UI) Prioridad: P0 (Core Architecture)
🚀 Prompt Optimizado
Contexto: Hemos construido agentes individuales (Extractor de Riesgos, Extractor de WBS) y herramientas (RAG). Ahora necesitamos el Orquestador que los gobierne. Usaremos LangGraph para definir un flujo de trabajo cíclico y con estado. El objetivo es reemplazar la lógica imperativa simple por un StateGraph que soporte:
Enrutamiento Condicional: Si el documento es un contrato, ve al agente de Riesgos. Si es técnico, ve al agente WBS.
Persistencia del Estado: Saber en qué paso se quedó el análisis.
Human-in-the-loop: Pausar la ejecución si la confianza es baja y esperar a que el usuario apruebe en el Frontend (actividad S6-007) para reanudar.
Rol: Actúa como un AI Solutions Architect experto en LangChain y LangGraph.
Tarea:
Definir el AgentState (TypedDict).
Construir el Grafo (StateGraph) conectando los nodos (Agentes).
Implementar la persistencia con MemorySaver (o PostgresCheckpointer).
Requisitos Técnicos:
Definición del Estado (apps/api/src/ai/graph/state.py):
Python
class AgentState(TypedDict):
    document_text: str
    project_id: str
    risks: List[Risk]
    wbs: List[Task]
    messages: List[BaseMessage]
    next_step: str
    human_approval_required: bool
Nodos del Grafo (nodes.py):
risk_extractor_node: Invoca al Agente de Riesgos (Sprint 3).
wbs_extractor_node: Invoca al Agente WBS.
quality_check_node: Evalúa la confianza de la extracción. Si es baja (&lt;0.8), setea human_approval_required=True.
El Grafo (workflow.py):
Conditional Edges:
Desde start -&gt; router (decide qué agente llamar según tipo de doc).
Desde quality_check -&gt; Si approval_required -&gt; human_interrupt. Sino -&gt; save_to_db.
Compilación: app = workflow.compile(checkpointer=memory).
Integración API:
Actualiza el endpoint POST /analyze (S6-009) para que, en lugar de llamar a una función simple, invoque app.invoke(inputs).
Entregable:
Estructura de carpetas src/ai/graph/.
 workflow.py con la lógica de LangGraph implementada.</t>
  </si>
  <si>
    <t>LangGraph es el corazón del sistema.
Si lo dejamos como una simple actividad de "configuración", vamos a tener un sistema frágil. Para un proyecto de esta envergadura (Construction Tech), necesitamos un Flujo de Trabajo Cognitivo real, no solo una cadena de llamadas.
Necesitamos implementar patrones avanzados como Self-Correction (la IA revisa su propio trabajo) y Routing Dinámico (decidir qué herramientas usar).
Vamos a expandir esto en una Épica Técnica dividida en 3 fases claras dentro de la misma actividad, elevando su prioridad y complejidad.
📝 Actividad: CE-S5-016 (REDEFINIDA Y EXPANDIDA)
Nombre: Advanced Multi-Agent Orchestration with LangGraph Dominio: AI Architecture / Backend Story Points: 5 (Complex Core Feature) Dependencias: CE-S3-001 (Risk Agent), CE-S3-005 (WBS Agent), Postgres DB Prioridad: Critical (Define la inteligencia del sistema)
🚀 Prompt Optimizado y Detallado
Contexto: Los agentes individuales son tontos si no trabajan juntos. Necesitamos un Supervisor que coordine el trabajo. Implementaremos un grafo cíclico con estado persistente. El objetivo: Que el sistema pueda decir "Analicé el contrato, encontré riesgos, pero la fecha de entrega no me cuadra con el WBS, así que voy a volver a leer la cláusula 5".
Rol: Actúa como un Principal AI Engineer especializado en Arquitecturas Cognitivas.
Tarea: Implementar el grafo maestro en apps/api/src/ai/orchestrator.py cubriendo 3 dimensiones clave:
📋 Dimensión 1: El Estado Global (State Schema)
No uses un diccionario simple. Define un esquema robusto que soporte historia y correcciones.
Python
from typing import TypedDict, Annotated, List, Union
from langgraph.graph.message import add_messages
class ProjectState(TypedDict):
    # El archivo original y metadatos
    project_id: str
    document_id: str
    doc_type: str  # 'contract', 'technical_spec', 'budget'
    # Memoria conversacional (historial de chat)
    messages: Annotated[List[BaseMessage], add_messages]
    # Resultados estructurados (Estado compartido entre agentes)
    extracted_risks: List[Risk]
    extracted_wbs: List[Task]
    # Flags de control de flujo
    confidence_score: float
    critique_notes: str  # Notas de auto-reflexión
    human_feedback: str  # Si el humano rechazó algo, aquí va la razón
    # Contador para evitar bucles infinitos
    retry_count: int
🧠 Dimensión 2: El Grafo (Nodos y Aristas)
Implementa el patrón "Supervisor/Router" + "Reflection".
Router Node:
Recibe el documento.
Usa un LLM ligero para clasificar: ¿Es Contrato? -&gt; Ve a risk_extractor. ¿Es Presupuesto? -&gt; Ve a budget_parser.
Worker Nodes (Los Agentes):
risk_extractor: Llama a tu agente de Riesgos. Escribe en extracted_risks.
wbs_extractor: Llama al agente WBS.
Critique Node (Self-Correction):
Crucial: Antes de terminar, pasa el resultado a un nodo "Crítico".
Prompt: "Revisa estos riesgos extraídos. ¿Tienen sentido? ¿Faltan referencias a cláusulas? Si no, devuelve status 'RETRY'".
Si el Crítico dice "Malo", el grafo vuelve al risk_extractor con las notas del crítico (Feedback Loop).
Human Node (Breakpoint):
Si confidence_score &lt; 0.8 o si el Crítico falla 2 veces -&gt; Pausa el grafo.
💾 Dimensión 3: Persistencia y Checkpointing
El análisis tarda minutos. Si el servidor se reinicia, no podemos perder el progreso.
PostgresCheckpointer:
No uses MemorySaver (solo sirve para demos).
Implementa AsyncPostgresSaver conectado a tu BD principal.
Esto permite guardar el estado del grafo serializado en la tabla ai_checkpoints.
Resume Capability:
Implementa la lógica para que, cuando el usuario haga clic en "Aprobar" en el Modal (S6-007), la API pueda recuperar el thread_id y ejecutar graph.stream(None, config=config) para continuar desde donde se quedó.
Requisitos de Código:
Usa langgraph v0.2+.
Visualización: Genera el diagrama del grafo (app.get_graph().draw_png()) y guárdalo en una ruta estática para poder verlo y depurar.
Manejo de Recursión: Configura recursion_limit=10 para evitar que el agente se quede en un bucle infinito de "Extracción -&gt; Crítica -&gt; Reintento".
Entregable:
apps/api/src/ai/graph/schema.pyok (State).
apps/api/src/ai/graph/nodes.py (Lógica de agentes y crítico).
apps/api/src/ai/graph/workflow.py (Definición del grafo y compilación).
Script de prueba tests/ai/test_graph_flow.py que simule un ciclo completo con crítica negativa inicial.</t>
  </si>
  <si>
    <t>Esta actividad es el "Kill Switch" financiero. Sin este componente, un bucle infinito en un agente o un ataque de uso podría generarte una factura de miles de dólares en Anthropic en una sola noche.
Cumple con la Gate 7 (Unit Economics): Debemos asegurar que el coste de la IA no supere el precio de la suscripción del cliente.
Aquí tienes el prompt optimizado para un AI Lead / FinOps.
📝 Actividad: CE-S4-002
Nombre: Cost Controller &amp; Budget Guardrails Dominio: AI / FinOps Story Points: 1 Dependencias: CE-S4-001 (AI Service - donde se inyecta este control) Gate: Gate 7 (Cost Control) Prioridad: P0 (Riesgo Financiero Alto)
🚀 Prompt Optimizado
Contexto: Estamos implementando el módulo de Control de Costes (CostController) en apps/api/src/ai/cost_controller.py. Dado que usamos modelos potentes (Claude 3.5 Sonnet) con contextos largos (contratos de 100 páginas), el coste por llamada puede ser alto. Necesitamos un mecanismo de "Cortacircuitos" (Circuit Breaker) que actúe antes de cada llamada a la API. Este servicio debe monitorear el consumo acumulado del Tenant en el mes actual y bloquear las peticiones si exceden el presupuesto definido. Además, debe implementar el sistema de alertas progresivas definido en la Gate 7 (50%, 75%, 90%, 100%).
Rol: Actúa como un AI Engineer con mentalidad de CFO (Chief Financial Officer).
Tarea: Desarrollar la clase CostControllerService.
Requisitos Técnicos:
Configuración de Precios (Pricing Table):
Define constantes con los precios actuales de Anthropic (por millón de tokens):
CLAUDE_3_5_SONNET_INPUT = 3.00 (ejemplo, verificar precio real).
CLAUDE_3_5_SONNET_OUTPUT = 15.00.
CLAUDE_HAIKU_...
Implementa un método calculate_cost(model: str, input_tokens: int, output_tokens: int) -&gt; float.
Verificación de Presupuesto (check_budget_availability):
Input: tenant_id.
Lógica:
Consultar el gasto acumulado del mes actual para ese tenant (puede ser una query SUM a la tabla de logs o consultar un contador en Redis si lo tenemos).
Comparar con el monthly_budget_limit del tenant (configurado en DB, default ej. $50.00).
Alertas:
Si gasto &gt;= 50% y no se ha alertado -&gt; Log WARNING "Budget at 50%".
Si gasto &gt;= 90% -&gt; Log CRITICAL "Budget Critical".
Bloqueo:
Si gasto &gt;= 100% -&gt; Lanzar BudgetExceededException. Esto detendrá la ejecución antes de llamar a Anthropic.
Registro de Gasto (track_usage):
Método que se llamará después de una ejecución exitosa para actualizar el contador acumulado en la base de datos.
Resiliencia:
El control de costes debe ser rápido. Si la base de datos tarda en responder el saldo, decide una estrategia de "Fail Open" (permitir paso) o "Fail Closed" (bloquear). Para este MVP, usa "Fail Closed" (seguridad financiera primero).
Entregable: Python de la clase CostControllerService listo para ser inyectado en el AIService creado anteriormente</t>
  </si>
  <si>
    <t>Nombre: WBSGeneratorAgent Implementation Dominio: AI / Backend / Agents Story Points: 5 (Complejidad alta) Dependencias: CE-S2-007 (Client Wrapper), CE-S2-001 (Schemas)
Aquí tienes el prompt optimizado para que la IA genere el código de este agente utilizando LangGraph (la tecnología de orquestación definida en el stack ).
🚀 Prompt Optimizado
Contexto: Estamos desarrollando el "Cerebro" de C2Pro (Fase 2 del Roadmap). Necesitamos implementar el Agente Generador de WBS (WBSGeneratorAgent). Este componente utiliza LangGraph para orquestar la llamada a Claude Sonnet 4. Su función es analizar las cláusulas de "Alcance" y "Especificaciones Técnicas" de un contrato y generar una Estructura de Desglose de Trabajo (WBS) jerárquica. El requisito crítico de negocio es la Trazabilidad Legal: El agente no solo debe inventar tareas; debe vincular cada ítem de la WBS a la clause_id específica que justifica su existencia.
Rol: Actúa como un Senior AI Engineer experto en LangChain y LangGraph. Entiendes cómo estructurar "Chains of Thought" (Cadenas de Pensamiento) para tareas de descomposición complejas.
Tarea: Crear el módulo agents/wbs_generator.py.
Requisitos Técnicos:
Tecnología: Utiliza LangGraph para definir el grafo de estado (StateGraph). Aunque por ahora sea un grafo lineal (Input -&gt; Generate -&gt; Output), prepáralo para ciclos de reflexión en el futuro.
Input del Agente:
Lista de objetos Clause (texto, id, tipo).
Contexto del proyecto (tipo de obra, presupuesto total).
System Prompt (Ingeniería de Prompts dentro del código):
Debes redactar un System Prompt potente para Claude Sonnet.
Instrucción de Jerarquía: Debe forzar una estructura estricta de 4 niveles:
Proyecto (Raíz).
Fase (Ingeniería, Procura, Construcción, etc.).
Entregable Principal.
Paquete de Trabajo (Accionable).
Instrucción de Trazabilidad: "Cada ítem generado DEBE incluir el ID de la cláusula (source_clause_id) que lo menciona o requiere."
Output Estructurado:
Utiliza PydanticOutputParser o la capacidad de "Tool Calling" de Claude para forzar que la salida sea estrictamente una lista de objetos WBSItemCreate (definidos en tus schemas previos).
Human-in-the-Loop (Gate 6):
Configura el nodo final del grafo para que devuelva el estado con una flag requires_approval=True. Según el roadmap, el humano debe aprobar la WBS antes de guardarla.
Entregable:
Python con la clase WBSAgentState (TypedDict).
La definición del nodo generador (generate_wbs_node).
El System Prompt completo optimizado para descomposición de tareas EPC.
La construcción del grafo compilado (workflow.compile()).</t>
  </si>
  <si>
    <t>Una vez que el WBSGeneratorAgent ha definido qué hay que hacer, el BOMBuilderAgent define con qué lo vamos a hacer. Este agente es crítico porque conecta el mundo técnico (Ingeniería) con el económico (Presupuesto) y el logístico (Compras).
Según el Roadmap, este agente no solo lista materiales; debe ser capaz de inferir Lead Times (tiempos de entrega) y cruzar los datos con el presupuesto para cumplir la Regla R15 ("BOM sin partida presupuestaria").
📝 Actividad 2: S3.5 (Sprint 3)
Nombre: BOMBuilderAgent Implementation Dominio: AI / Backend / Supply Chain Story Points: 5 Dependencias: S3.4 (WBS), CE-S2-001 (Schemas)
Aquí tienes el prompt optimizado para construir este agente experto en logística.
🚀 Prompt Optimizado
Contexto: Estamos desarrollando el BOMBuilderAgent (Bill of Materials) para C2Pro. Este agente recibe como entrada la WBS (generada en el paso anterior) y el Presupuesto Desglosado (partidas extraídas del BC3/Excel). Su misión es generar la lista de materiales, equipos y servicios necesarios para ejecutar cada paquete de trabajo de la WBS. Además, debe actuar como un planificador logístico experto: debe estimar los tiempos de suministro (lead_time_days) basándose en la naturaleza del ítem (ej. "Válvula especial" tarda más que "Cemento") para alimentar posteriormente las alertas de riesgo R14.
Rol: Actúa como un Senior Supply Chain Architect y experto en LangGraph.
Tarea: Crear el módulo agents/bom_builder.py.
Requisitos del Grafo (State Machine):
Estado (BOMAgentState):
wbs_items: List[WBSItem] (Input)
budget_items: List[BudgetItem] (Input)
bom_items: List[BOMItem] (Output)
Lógica del Nodo Generador (materializer_node):
Iteración Inteligente: El agente no debe alucinar; debe iterar sobre los ítems "hoja" de la WBS.
System Prompt: "Eres un Jefe de Compras experto en proyectos EPC. Para cada paquete de trabajo, deduce los materiales necesarios."
Inferencia Logística: Para cada ítem generado, el LLM debe estimar:
production_time_days: Tiempo de fabricación.
transit_time_days: Tiempo de transporte (asumir internacional si es complejo).
total_lead_time_days: Suma + buffer.
Cruce Presupuestario (Regla R15): Debe intentar encontrar el budget_item_id que financia este material basándose en similitud de nombres/códigos con la lista de budget_items. Si no encuentra coincidencia clara, debe dejarlo null (lo cual disparará una alerta después).
Integridad de Datos (Pydantic):
El output debe cumplir estrictamente con el esquema BOMItemCreate definido en schemas/bom.py.
Trazabilidad: Debe heredar el clause_id del ítem WBS padre.
Optimización de Contexto:
Dado que la WBS y el Presupuesto pueden ser enormes, implementa una estrategia de "Map-Reduce" o procesamiento por lotes (batches) en LangGraph para no desbordar la ventana de contexto de Claude.
Entregable: Python con:
La definición del BOMAgentState.
La función materializer_node con la lógica de inferencia de lead times.
El prompt del sistema especializado en Supply Chain.
La configuración del grafo.</t>
  </si>
  <si>
    <t>Esta actividad marca el hito de completitud del Motor de Coherencia. Hasta ahora teníamos el esqueleto y un par de reglas de ejemplo; ahora vamos a dotar al sistema de su verdadera inteligencia de negocio implementando las reglas complejas que cruzan Cronograma, Coste y Alcance.
Estas reglas no son simples if/else; requieren lógica de conjuntos, comparaciones de fechas y cruces de datos entre entidades dispares (BOM vs Presupuesto).
Aquí tienes el prompt optimizado para un AI Lead / Backend Developer.
📝 Actividad: CE-S4-005
Nombre: Implementación 8 Reglas de Coherencia Restantes (Core Logic) Dominio: Backend / Business Logic Story Points: 4 (Alta densidad lógica) Dependencias: CE-S3-006 (Engine Arch), CE-S4-003/004 (Agents Data) Gate: Gate 5 (Coherence Metric)
🚀 Prompt Optimizado
Contexto: Estamos completando el set de reglas del Coherence Engine en apps/api/src/coherence/rules/. Ya tenemos la clase base CoherenceRule y la estructura del ProjectContext. Ahora debemos implementar la lógica dura de las 8 reglas restantes para alcanzar el objetivo de "10 Reglas Core" del MVP. Estas reglas deben ser puras (sin I/O, operando sobre los datos en memoria del contexto) para asegurar velocidad y testabilidad.
Rol: Actúa como un Business Logic Developer experto en gestión de proyectos (PMBOK) y algoritmos en Python.
Tarea: Implementar las siguientes clases heredando de CoherenceRule.
Detalle de las Reglas a Implementar:
Reglas de Alcance y Coste:
R2 (Cost Variance): Comparar Sum(BudgetItems.total) vs Contract.total_amount.
Umbral: Si la diferencia es &gt; 5%, generar alerta HIGH. Si es &gt; 10%, CRITICAL.
R15 (Unbudgeted Items - Zombie BOM): Iterar sobre BOMItems. Si bom_item.budget_item_id es None (no se encontró partida financiera), generar alerta HIGH por cada ítem huérfano. Evidencia: Nombre del material.
Reglas de Cronograma y Dependencias:
R12 (Dependency Violation): Para tareas vinculadas (Predecesora -&gt; Sucesora).
Lógica: Si Successor.start_date &lt; Predecessor.end_date.
Alerta: CRITICAL "Secuencia imposible".
R20 (Orphan Tasks): Iterar WBSItems. Si un ítem hoja no tiene stakeholders asignados (RACI 'Responsible' vacío), alerta MEDIUM.
Reglas de Cadena de Suministro (Logística):
R14 (Lead Time Risk):
Calcular: Fecha Necesidad en Sitio (del Cronograma) - Lead Time Total (del BOM Agent) = Fecha Límite Pedido.
Lógica: Si Fecha Límite Pedido &lt; Hoy, alerta CRITICAL "Material ya retrasado".
Otras Reglas (Compliance/Quality):
R6 (Permitting): Si detectamos cláusulas de "Licencia" o "Permiso" en el contrato y no hay hito correspondiente en el cronograma.
R19 (Cash Flow - Opcional simple): Si la curva de gastos mensual excede el límite de facturación (si tenemos esos datos). Si no, dejar como Pass por ahora.
Requisitos Técnicos:
Evidencia Estructurada (evidence_json):
Cada regla debe retornar un diccionario exacto con los valores que fallaron.
Ejemplo R14: {"material": "Válvula X", "needed_date": "2024-02-01", "lead_time": 45, "required_order_date": "2023-12-15", "delay_days": 20}. Esto es vital para que el Frontend explique el problema.
Eficiencia:
Usa sets o diccionarios (dict) para búsquedas rápidas (O(1)) de IDs. No hagas bucles anidados O(n^2) sobre listas grandes si puedes evitarlo indexando primero.
Testing (Unitario):
Para cada regla, crea un test unitario en tests/coherence/test_rules_impl.py con datos mockeados que fuercen el fallo y el éxito.
Entregable: Python de las 8 clases (cada una en su archivo o agrupadas por dominio: schedule_rules.py, cost_rules.py, etc.) y sus tests unitarios.</t>
  </si>
  <si>
    <t>ctividad: CE-S4-006
Nombre: Integration Test Full Loop (Upload -&gt; Score) Dominio: QA / Testing Story Points: 3 Dependencias: Todo el Backend (S3 y S4) Gate: Gate 5 (System Coherence)
🚀 Prompt Optimizado
Contexto: Hemos completado los componentes individuales. Ahora necesitamos un Test de Integración de Sistema que valide el flujo completo desde la perspectiva del usuario ("Caja Negra" o "Caja Gris"). Este test simulará el viaje de un documento: Subida -&gt; Procesamiento Asíncrono -&gt; Cálculo de Score. El reto principal es manejar la asincronía (Polling) dentro del test y decidir qué mockear (para no gastar dinero en Anthropic en cada test run) y qué dejar real.
Rol: Actúa como un QA Automation Engineer experto en pytest y pytest-asyncio.
Tarea: Crear el test tests/integration/flows/test_full_scoring_loop.py.
Requisitos Técnicos:
Estrategia de Mocking (AI):
NO llames a la API real de Anthropic.
Usa unittest.mock o respx para interceptar las llamadas del AIService.
Prepara "Canned Responses" (Respuestas enlatadas) realistas:
Una respuesta para WBS Extraction (JSON con tareas).
Una respuesta para Stakeholder Extraction (JSON con roles).
El resto del sistema (DB, Celery, Reglas, Parsers) debe ser REAL.
Flujo del Test (test_upload_and_calculate_score):
Paso 1 (Upload): POST /projects/{id}/documents con un PDF de prueba (tests/fixtures/files/contract_sample.pdf).
Assert: Status 202, retorna task_id.
Paso 2 (Polling): Implementa un bucle while que llame a GET /projects/{id}/documents cada 0.5s (máximo 10s).
Wait condition: Esperar hasta que el status sea PARSED.
Paso 3 (Trigger Calculation): (Si no es automático) Llama al endpoint que dispara el cálculo de coherencia (o espera si es automático tras el parseo).
Paso 4 (Validation): GET /projects/{id}/coherence-score.
Assert: Status 200.
Assert: score es un entero entre 0 y 100.
Assert: breakdown contiene datos (no está vacío).
Configuración Celery (Modo Test):
Para evitar levantar un worker de Redis separado durante los tests, configura Celery en modo task_always_eager = True dentro del conftest.py. Esto hace que las tareas asíncronas se ejecuten síncronamente en el mismo hilo, facilitando el debugging y eliminando la necesidad de time.sleep().
Entregable: Python del test de integración completo, incluyendo los mocks necesarios para simular la "inteligencia" de la IA sin coste.</t>
  </si>
  <si>
    <t>gemini luego codex</t>
  </si>
  <si>
    <t>Esta actividad es crítica para la lógica RACI (Responsible, Accountable, Consulted, Informed).
Si el sistema no sabe quién está trabajando en el proyecto, no puede detectar si hay tareas huérfanas (Regla R20). El StakeholderExtractorAgent debe leer las primeras páginas del contrato (donde suelen estar las "Partes Intervinientes") y extraer estructuradamente a las empresas y representantes legales.
📝 Actividad: CE-S5-001
Nombre: StakeholderExtractorAgent (NLP Entity Recognition) Dominio: AI / Backend Story Points: 3 Dependencias: CE-S4-001 (Base AI Service) Gate: Gate 5 (Accuracy &gt; 80%)
🚀 Prompt Optimizado
Contexto: Estamos construyendo el Agente de Identificación de Partes. Necesitamos que la IA lea el texto crudo del PDF (específicamente las secciones de introducción y firmas) y extraiga quiénes son los actores del proyecto. El objetivo es poblar la tabla stakeholders para luego poder cruzarla con el cronograma (ej. "¿Tiene esta tarea asignada a un responsable válido?").
Rol: Actúa como un AI Engineer especialista en Procesamiento de Lenguaje Natural (NLP) y Prompt Engineering.
Tarea: Implementar la clase StakeholderExtractorAgent en apps/api/src/agents/stakeholder_extractor.py.
Requisitos Técnicos:
Definición del System Prompt:
Diseña un prompt para Claude 3.5 Sonnet que reciba texto legal desordenado y devuelva JSON estricto.
Instrucciones Clave:
"Identifica a la entidad 'Cliente' (Dueño de la obra) y 'Contratista' (Ejecutor)".
"Extrae nombres de representantes legales y sus cargos si aparecen".
"Ignora notarios o figuras irrelevantes para la ejecución (ej. registro mercantil)".
Schema de Salida (JSON):
JSON
{
  "stakeholders": [
    {
      "name": "Juan Pérez",
      "role": "Project Manager", // o "Legal Representative"
      "company": "Construcciones S.A.",
      "type": "CONTRACTOR", // Enum: CLIENT, CONTRACTOR, SUBCONTRACTOR, SUPERVISION
      "contact_email": "juan@construcciones.com" // Si existe
    }
  ]
}
Lógica del Agente:
Heredar de la clase base BaseAgent.
Implementar el método extract(text_chunk: str) -&gt; List[Stakeholder].
Pre-procesamiento: El agente probablemente solo necesite las primeras 10 páginas y las últimas 5 (firmas) del contrato. No le envíes el documento entero de 200 páginas para ahorrar tokens.
Manejo de Errores:
Si el modelo alucina o devuelve JSON inválido, implementar un mecanismo de retry o usar el modo json_mode de la API de Anthropic para forzar la estructura.
Entregable: Python de la clase StakeholderExtractorAgent y el prompt del sistema optimizado.</t>
  </si>
  <si>
    <t>Nombre: AlertGenerator Service Implementation Dominio: Backend / Core Logic Story Points: 3 Dependencias: S3.6 (Coherence Engine), CE-S2-002 (Schemas)
Aquí tienes el prompt optimizado para implementar este servicio de persistencia inteligente.
🚀 Prompt Optimizado
Contexto: Estamos implementando el AlertGenerator para C2Pro. El CoherenceEngine nos entrega una lista cruda de violaciones detectadas cada vez que corre (ej. cada vez que se sube un documento). Si guardamos todo ciegamente, llenaremos la base de datos de duplicados cada vez que se ejecute el análisis. Este servicio debe actuar como un filtro inteligente: solo persistir alertas nuevas, actualizar la evidencia de las existentes y reabrir las que se creían resueltas pero han reaparecido (regresión).
Rol: Actúa como un Backend Developer experto en patrones de diseño de sistemas de monitoreo y deduplicación de eventos.
Tarea: Crear el módulo services/alerts/generator.py.
Requisitos Técnicos:
Input:
project_id: UUID.
detected_violations: Lista de objetos AlertCreate (generados por las reglas de S3.6).
Lógica de Deduplicación (Fingerprinting):
Genera un "Fingerprint" único para cada alerta basado en: rule_id + affected_entity_ids (ej. R1_schedule_123_contract_456).
Escenario A (Nueva): Si no existe alerta activa con ese fingerprint -&gt; INSERT.
Escenario B (Existente Open): Si ya existe y está open -&gt; UPDATE solo el evidence_json (por si los valores cambiaron) y updated_at. No crear duplicado.
Escenario C (Regresión): Si existe pero estaba resolved -&gt; UPDATE status a open y añadir nota de sistema "Regresión detectada autom".
Escenario D (Auto-resolve): (Opcional) Si una alerta abierta en BD ya no viene en la lista de detected_violations (el usuario arregló el problema), marcarla como resolved automáticamente.
Human-in-the-Loop (Gate 6):
Implementa la lógica de asignación automática de requires_human_review:
SI severity es 'critical' O 'high' -&gt; True.
SI rule_id afecta a cláusulas de penalización -&gt; True.
ELSE -&gt; False (informativa).
Trazabilidad y Persistencia:
Asegura que el source_clause_id  se guarde correctamente.
Usa transacciones de base de datos (atomic) para procesar el lote completo.
Entregable: Python con la clase AlertGeneratorService y el método process_violations(project_id, violations). Incluye la lógica de generación del hash/fingerprint para deduplicación.</t>
  </si>
  <si>
    <t>Esta actividad es el Traductor de Negocio.
Las reglas que implementamos en el paso anterior (CE-S4-005) devuelven datos crudos (ej: R14: Failed, delay=20). El usuario final no entiende de reglas; necesita un mensaje claro: "La Válvula X llegará 20 días tarde según el Lead Time".
El AlertGenerator toma la lógica técnica y la convierte en Mensajes Accionables con hipervínculos a la fuente del problema (Trazabilidad).
📝 Actividad: CE-S4-006
Nombre: AlertGenerator con Evidencias Estructuradas Dominio: Backend / Business Logic Story Points: 1 Dependencias: CE-S4-005 (Rules Implementation) Gate: Gate 5 (Coherence Metric)
🚀 Prompt Optimizado
Contexto: Hemos ejecutado el motor de reglas y tenemos una lista de resultados (algunos PASS, otros FAIL). Necesitamos persistir los fallos como Alertas en la base de datos para mostrarlas en el Dashboard. El AlertGenerator en apps/api/src/coherence/alert_generator.py es responsable de:
Recibir el output crudo de una regla.
Formatear un mensaje humano legible usando plantillas (Templates).
Vincular la alerta a los objetos afectados (ID de la tarea, ID del material) para que el usuario pueda hacer clic y navegar al problema (affected_ids).
Vincular la alerta a la cláusula del contrato que se está violando (source_clause_id), si aplica.
Rol: Actúa como un Product Engineer enfocado en la Explicabilidad (Explainability) del sistema.
Tarea: Implementar la clase AlertGenerator.
Requisitos Técnicos:
Sistema de Plantillas (Message Templates):
Define un diccionario de templates mapeado por rule_id.
Ejemplo:
Python
TEMPLATES = {
    "R14": "El material '{material}' tiene un Lead Time de {lead_time} días, lo que retrasa la tarea '{task_name}' en {delay_days} días.",
    "R02": "La partida presupuestaria '{code}' excede el monto contractual en {variance_percent}%.",
    # ... resto de reglas
}
Usa str.format(**evidence_json) para inyectar los datos dinámicamente.
Generación de Objetos AlertCreate:
El método generate(rule_result: RuleResult) -&gt; AlertCreate debe mapear:
severity: Derivado de la regla (CRITICAL/HIGH/MEDIUM/LOW).
title: Nombre corto de la regla.
description: El mensaje formateado.
evidence_json: El objeto JSON crudo (para debug o visualizaciones avanzadas).
affected_object_ids: Lista de UUIDs (ej. ID del WBS Item, ID del BOM Item).
source_clause_id: Si la regla detectó una cláusula específica.
Deduplicación (Opcional pero recomendada):
Si una regla genera 100 alertas idénticas (ej. "Falta fecha de inicio"), considera agruparlas o generar una sola alerta resumen ("100 tareas sin fecha de inicio") para no inundar al usuario. Para este MVP, genera alertas individuales pero pon un comentario TODO sobre la agrupación.
Interface Limpia:
El generador debe ser agnóstico de la base de datos. Solo transforma datos en memoria.
Entregable: Python de la clase AlertGenerator con los templates definidos para las reglas implementadas en la actividad anterior.</t>
  </si>
  <si>
    <t>estp hay que revisar, no me fio</t>
  </si>
  <si>
    <t>Esta es la validación funcional definitiva. A diferencia de los tests unitarios (que prueban si una función "crachea"), estos tests prueban si la Lógica de Negocio es correcta.
Si tenemos un proyecto de prueba diseñado específicamente para tener un "retraso en materiales", este test debe asegurar que la Regla R14 salte. Si no salta, tenemos un bug silencioso en la lógica.
Aquí tienes el prompt para un QA Lead.
📝 Actividad: CE-S4-015
Nombre: Tests Integración Coherence Engine (Logic Validation) Dominio: Testing / QA Story Points: 1 Dependencias: CE-S4-005 (Reglas), CE-S2-015 (Golden Dataset) Gate: Gate 5 (Logic Correctness)
🚀 Prompt Optimizado
Contexto: El Motor de Coherencia es el corazón del producto. Hemos implementado 10 reglas complejas. Necesitamos asegurar que el motor detecta los problemas conocidos de forma determinista. Usaremos el Golden Dataset (proyectos JSON pre-fabricados con errores intencionales) para validar que las reglas se activan cuando deben. Ejemplo: Si el dataset project_broken_dates.json tiene una tarea que empieza antes de que acabe su predecesora, el test debe fallar si la regla R12 no genera una alerta CRITICAL.
Rol: Actúa como un QA Automation Engineer especializado en validación de lógica de negocio.
Tarea: Crear la suite de tests tests/integration/coherence/test_engine_logic.py.
Requisitos Técnicos:
Fixtures ("Casos de Laboratorio"):
Crea o asegura la existencia de 2 fixtures JSON en tests/fixtures/scenarios/:
scenario_perfect.json: Un proyecto coherente. Score esperado &gt; 90.
scenario_disaster.json: Un proyecto con fechas imposibles, sin presupuesto y materiales tardíos. Score esperado &lt; 40.
Test de Reglas Específicas:
Test R12 (Dependencias): Carga un escenario con violación de secuencia. Ejecuta el motor.
Assert: Existe una alerta con rule_id="R12".
Assert: La severidad es CRITICAL.
Test R02 (Sobrecoste): Carga escenario con Budget &gt; Contract.
Assert: Existe alerta R02.
Test de Estabilidad del Score:
Ejecuta el motor sobre scenario_perfect.json.
Assert: score &gt;= 90.
Assert: La lista de alertas está vacía (o solo tiene LOW).
Performance Check (Soft Real-time):
Mide el tiempo de ejecución del calculate_score.
Assert: Debe ser menor a 200ms para un proyecto de tamaño medio (el motor trabaja en memoria, debe ser rapidísimo).
No Mocking Logic:
A diferencia de los tests de API, aquí NO mockees las reglas. Queremos ejecutar la implementación real de CoherenceService sobre datos estáticos.
Entregable: Python de los tests de integración usando pytest.</t>
  </si>
  <si>
    <t>gemini y el otro codex</t>
  </si>
  <si>
    <t>Esta es la actividad que diferencia un "Juguete de IA" de una "Herramienta Profesional".
Si el sistema dice que el proyecto va "Mal" (Score 40) pero un Project Manager experto dice que va "Bien" (Score 80), el usuario perderá la confianza en el primer minuto. La Calibración consiste en ajustar los Pesos (Weights) de cada regla para que la opinión de la máquina se alinee matemáticamente con la intuición humana.
📝 Actividad: CE-S4-007
Nombre: Calibración del Coherence Score (10 Reglas) Dominio: AI / Data Science Story Points: 1 Dependencias: CE-S4-005 (Reglas), CE-S2-015 (Gold Standard Dataset) Gate: Gate 5 (Quality Threshold &gt; 0.85 Correlation)
🚀 Prompt Optimizado
Contexto: Hemos implementado las 10 reglas de coherencia. Ahora debemos asignarles importancia relativa. ¿Qué es más grave: Un retraso de 2 días (R12) o un sobrecoste del 1% (R02)? Tenemos un Gold Standard Dataset (preparado en S2) con 20 proyectos anonimizados y su puntuación asignada por expertos humanos (0-100). Necesitamos un script que ejecute nuestro motor sobre estos proyectos, compare el resultado con la nota humana y calcule la correlación.
Rol: Actúa como un Lead Data Scientist experto en validación de modelos.
Tarea: Crear el script scripts/run_calibration.py.
Requisitos Técnicos:
Carga de Datos (Ground Truth):
Leer un archivo calibration_dataset.json que contiene una lista de proyectos con sus datos crudos (WBS, BOM, Contrato) y su human_score.
Batch Execution:
Importar el CoherenceService.
Iterar sobre cada proyecto del dataset e invocar calculate_score(project_context).
Análisis Estadístico:
Comparar ai_score vs human_score.
Calcular:
MSE (Mean Squared Error): Cuánto nos equivocamos en promedio.
Correlación de Pearson: Qué tan bien sigue la tendencia (Objetivo &gt; 0.85).
Ajuste de Pesos (Weight Tuning):
El script debe cargar la configuración de pesos actual (DEFAULT_WEIGHTS).
Modo Iterativo (Opcional pero valioso): Si puedes, implementa un pequeño bucle que ajuste ligeramente los pesos de las reglas críticas (CRITICAL vs HIGH) para intentar minimizar el MSE automáticamente (Hill Climbing simple), o simplemente imprime un reporte detallado sugiriendo qué reglas están penalizando demasiado.
Output Gráfico:
Generar un gráfico de dispersión (Scatter Plot) usando matplotlib o imprimir una tabla ASCII en consola mostrando la desviación por proyecto.
Entregable: Python del script de calibración y un archivo de configuración weights_config.py optimizado</t>
  </si>
  <si>
    <t>El Coherence Score no es un simple contador de errores. Es un KPI matemático (0-100) que debe resumir la salud del proyecto en un solo vistazo. Si el algoritmo es demasiado sensible, todos los proyectos tendrán "0" y el usuario se frustrará. Si es muy permisivo, todos tendrán "100" y no verán el valor.
Según la especificación del Roadmap (Sección 12), debemos implementar una fórmula no lineal (sigmoide) para asegurar que el score siempre se mantenga entre 0 y 100, independientemente de cuántas alertas existan.
📝 Actividad 5: S3.8 (Sprint 3)
Nombre: Coherence Score v1 Implementation Dominio: Backend / Analytics / Math Story Points: 3 Dependencias: S3.7 (Alerts), CE-S2-002 (Schemas)
Aquí tienes el prompt optimizado para implementar la lógica matemática definida en el Anexo técnico.
🚀 Prompt Optimizado
Contexto: Estamos implementando la lógica de cálculo del Coherence Score v1 para C2Pro. Este score es el indicador principal del Dashboard. Debe ser un entero entre 0 (Caos total) y 100 (Coherencia perfecta). No podemos usar una resta lineal simple (ej. 100 - (n_errores * puntos)) porque un proyecto grande con muchas alertas podría tener puntuación negativa. Según la especificación técnica del Roadmap, debemos usar una función de normalización (curva suave) y ponderar las alertas por severidad.
Rol: Actúa como un Algorithm Engineer o Data Scientist con experiencia en implementación de métricas de riesgo (Scoring Models).
Tarea: Crear el módulo services/scoring/calculator.py y services/scoring/weights.py.
Requisitos del Algoritmo (Especificación Gate 5):
Definición de Pesos (Weights):
Define constantes para la "Penalización Base" según severidad:
CRITICAL: 25 puntos.
HIGH: 10 puntos.
MEDIUM: 5 puntos.
LOW: 1 punto.
Cálculo de Penalización Bruta (Raw Penalty):
Sumar el peso de todas las alertas abiertas.
Refinamiento: Si hay múltiples alertas de la misma regla (ej. 50 materiales retrasados R14), aplicar un factor de "amortiguación logarítmica" para que no destruyan el score desproporcionadamente (ej. la primera cuenta 100%, la segunda 80%, etc., o simplemente agrupar por regla). Para v1, suma lineal por severidad es aceptable si normalizamos después.
Fórmula de Normalización (0-100):
Implementa la fórmula de decaimiento definida en el roadmap:
Python
# raw_penalty = suma de pesos
# sensitivity = 50 (ajustable para calibración)
normalized_score = 100 / (1 + (raw_penalty / sensitivity))
final_score = int(max(0, min(100, normalized_score)))
Breakdown (Explicabilidad):
El usuario necesita saber por qué tiene un 65.
Genera una lista de Top Drivers: Las 5 reglas que más penalización están aportando al cálculo, ordenadas descendentemente.
Output:
Objeto ScoreResult con: value (int), severity_breakdown (count por tipo), top_drivers (list) y calculated_at.
Entregable: Python completo de la clase ScoreCalculator. Incluye comentarios explicando la fórmula matemática elegida.</t>
  </si>
  <si>
    <t>Esta actividad es la "Constitución" del sistema.En el software Enterprise (y más en construcción), los usuarios no confían en las "Cajas Negras". Si un Director de Proyecto ve una nota de 45/100, su primera pregunta será: "¿Por qué? ¿Cómo se calcula eso?".Este documento (scoring_methodology_v1.md) es la respuesta oficial. Debe ser lo suficientemente técnico para el CTO y lo suficientemente claro para que el equipo de Ventas pueda explicarlo al cliente.📝 Actividad: CE-S4-008Nombre: Documentar Fórmula Score Auditoría (Whitepaper Interno)Dominio: Documentation / AI GovernanceStory Points: 0.5Dependencias: CE-S4-007 (Pesos calibrados)Gate: Gate 5 (Auditability)🚀 Prompt OptimizadoContexto:Hemos calibrado el motor de IA y tenemos los pesos finales (CRITICAL, HIGH, MEDIUM, LOW).Ahora debemos "congelar" esta lógica en un documento oficial antes de lanzar la V1.Este documento servirá de base para la auditoría técnica y para responder dudas de clientes sobre la imparcialidad del algoritmo.La fórmula debe ser determinista: Mismos inputs = Mismo Score.Rol:Actúa como un Technical Writer con conocimientos de Data Science.Tarea:Crear el archivo docs/coherence_engine/scoring_methodology_v1.md.Requisitos del Contenido:Definición de la Fórmula Matemática:Documenta explícitamente cómo se llega al número final.Sugerencia de modelo: Modelo Deductivo (Score de Penalización).$$Score = 100 - \sum (Weight_i \times Count_i)$$(Con un suelo de 0, no negativos).O Modelo de Promedio Ponderado. Elige el que hayamos implementado en el código y explícalo con LaTeX.Tabla de Pesos (Weight Table):Lista los valores exactos acordados tras la calibración (S4-007).CRITICAL: (ej. -15 puntos).HIGH: (ej. -5 puntos).MEDIUM: (ej. -2 puntos).LOW: (ej. -0.5 puntos).Catálogo de Reglas V1:Lista las 10 reglas activas (R2, R6, R12, etc.) con una breve descripción de "Qué penaliza".Ejemplo: "R14 (Supply Chain): Penaliza si la fecha de pedido calculada es anterior a hoy."Justificación de Calibración:Añade una nota breve indicando que estos pesos fueron validados contra un dataset de 20 proyectos reales con una correlación de &gt;0.85 respecto al juicio experto.Control de Versiones:Encabezado con Version: 1.0, Date: 2026-01-24, Status: APPROVED.Entregable:Contenido en formato Markdown profesional, listo para ser commiteado al repositorio.,</t>
  </si>
  <si>
    <t>Perfecto, retomamos el camino del Backend Profundo.
Como bien dices, el StakeholderClassifier nos dice quién está, pero el RiskExtractorAgent nos dice qué puede matarnos. Esta es la funcionalidad que justifica el precio "Enterprise" del software.
Vamos a implementar el agente que lee las "Condiciones Particulares" del contrato y busca cláusulas venenosas.
📝 Actividad: CE-S5-003
Nombre: RiskExtractorAgent (Inferencia de Riesgos Contractuales) Dominio: AI / Backend Story Points: 3 Dependencias: CE-S4-001 (Base AI), CE-S5-001 (Stakeholder Extractor) Gate: Gate 5 (Risk Identification)
🚀 Prompt Optimizado
Contexto: Necesitamos crear apps/api/src/agents/risk_extractor.py. Este agente es diferente a los anteriores: no busca datos estructurados (como fechas o nombres), sino que realiza Juicios de Valor. Debe leer párrafos de texto legal y determinar: "¿Es esto peligroso para el contratista?". Se enfocará en 5 dimensiones: Legal, Financiera, Cronograma, Técnica y HSE (Seguridad).
Rol: Actúa como un Senior Contract Manager y AI Engineer.
Tarea:
Diseñar el System Prompt para análisis de riesgos.
Implementar la clase RiskExtractorAgent.
Definir la estructura de datos para persistir estos riesgos.
Requisitos Técnicos:
System Prompt (Persona: "El Auditor Paranoico"):
Instruye al modelo para que actúe como un auditor de riesgos conservador.
Input: Fragmentos del contrato (limitado a secciones de penalizaciones, garantías, alcance y condiciones de sitio).
Heurística de Detección:
Vaguedad: "El contratista hará lo necesario..." (Riesgo: Alcance indefinido).
Asimetría: "El cliente puede cancelar sin coste, el contratista paga 10%..." (Riesgo: Legal).
Imposibilidad: "Hormigonado en temperaturas bajo cero sin aditivos..." (Riesgo: Técnico).
Schema de Salida (JSON):
JSON
{
  "risks": [
    {
      "title": "Penalización por retraso sin límite (Cap)",
      "description": "La cláusula 14.2 impone 1% diario de multa sin establecer un máximo acumulado del contrato.",
      "category": "FINANCIAL", // LEGAL, SCHEDULE, TECHNICAL, HSE
      "probability": "LOW",    // LOW, MEDIUM, HIGH
      "impact": "CRITICAL",    // LOW, MEDIUM, HIGH, CRITICAL
      "mitigation_suggestion": "Solicitar adenda para topar la penalización al 10% del total.",
      "source_text_snippet": "Clause 14.2: ...penalty of 1% per day..."
    }
  ]
}
Procesamiento Inteligente:
El agente debe calcular un risk_score numérico interno (ej: Impacto Critical (4) * Probabilidad High (3) = 12) para ordenar los resultados antes de devolverlos.
Integración:
El método extract() debe recibir el texto y devolver objetos RiskItem validados por Pydantic.
Entregable: Código Python completo de risk_extractor.py incluyendo los Prompts y los Modelos de Datos.
Estrategia de Siguientes Pasos:
Ahora tenemos:
Stakeholders (Quién).
Riesgos (Qué puede salir mal).
Coherencia (Errores lógicos en fechas/costes).
El backend es extremadamente potente ahora. Para cerrar el Sprint 5 con broche de oro en la parte de IA, nos falta una capacidad muy demandada: "Chat con el Contrato". Los usuarios no siempre quieren leer alertas; a veces quieren preguntar: "¿Qué dice el contrato sobre la lluvia?".,</t>
  </si>
  <si>
    <t>ctividad 2: S4.2 (Sprint 4)
Nombre: RACI Matrix Generator Agent Dominio: AI / Agents Story Points: 5 (Complejidad Lógica Alta) Dependencias: S3.4 (WBS), S4.1 (Stakeholders)
Aquí tienes el prompt optimizado para construir este agente de razonamiento.
🚀 Prompt Optimizado
Contexto: Estamos desarrollando el Generador de Matrices RACI para C2Pro. Este agente tiene una tarea cognitiva compleja: leer los entregables definidos en la WBS y, cruzándolos con las cláusulas contractuales, determinar qué rol juega cada Stakeholder en cada tarea. Debe asignar uno de los 4 valores estándar:
R (Responsible): Quién hace el trabajo.
A (Accountable): Quién tiene la autoridad final/firma (Solo puede haber 1 por tarea).
C (Consulted): A quién se le pregunta antes de decidir (Input bidireccional).
I (Informed): A quién se le notifica después (Input unidireccional).
Rol: Actúa como un PMP Certified Project Manager y experto en LangChain.
Tarea: Crear el módulo agents/raci_generator.py.
Requisitos Técnicos:
Inputs del Agente:
wbs_items: Lista de tareas (nos enfocaremos en el nivel más bajo/hojas).
stakeholders: Lista de actores identificados.
relevant_clauses: Texto de las cláusulas vinculadas a esos ítems de la WBS (recuperadas por RAG o por el vínculo source_clause_id de la WBS).
Lógica de Inferencia (System Prompt):
El prompt debe instruir al LLM para buscar verbos clave en las cláusulas asociadas a la tarea:
"El Contratista ejecutará..." -&gt; Contratista = R.
"Sujeto a la aprobación del Cliente..." -&gt; Cliente = A.
"Previa revisión de la Ingeniería..." -&gt; Ingeniería = C.
"Se notificará al Supervisor..." -&gt; Supervisor = I.
Validación de Reglas RACI (Post-processing):
Regla de Oro: Cada fila (tarea) debe tener exactamente un 'A'. Si el LLM no encuentra ninguno, debe inferirlo (generalmente el Client o el Project Manager) o marcarlo como warning.
Regla de Acción: Cada fila debe tener al menos un 'R'.
Formato de Salida:
Lista de objetos RaciAssignment:
wbs_item_id: UUID.
stakeholder_id: UUID.
role: Enum (R, A, C, I).
evidence_text: Fragmento de texto que justifica esta asignación ("...el Cliente aprobará en 5 días...").
Entregable: Python con la configuración del Agente y un validador simple (check_raci_rules) que alerte si una tarea se quedó sin "Accountable".</t>
  </si>
  <si>
    <t>Esta actividad transforma "Archivos muertos" en "Conocimiento Activo".
Implementar RAG (Retrieval-Augmented Generation) permite que el usuario haga preguntas en lenguaje natural sobre documentos de 500 páginas y obtenga respuestas precisas citando la fuente. Ya no tienen que buscar "Ctrl+F"; simplemente preguntan: "¿Cuáles son las penalizaciones por lluvia?".
📝 Actividad: CE-S5-004
Nombre: RAG Implementation (Vector Search &amp; Chat) Dominio: AI / Backend Story Points: 3 Dependencias: CE-S4-010 (Uploads), Setup de Supabase (pgvector) Gate: Gate 5 (Q&amp;A Capability)
🚀 Prompt Optimizado
Contexto: Los usuarios necesitan interactuar con los contratos, no solo leer reportes estáticos. Vamos a implementar un motor RAG en apps/api/src/services/rag_service.py. Usaremos Supabase pgvector como nuestra base de datos vectorial (ya que estamos usando Postgres, evitamos añadir Pinecone/Milvus para mantener la infraestructura simple). El flujo tiene dos partes: Ingesta (al subir documento) y Consulta (al chatear).
Rol: Actúa como un AI Engineer experto en Vector Search y Embeddings.
Tarea:
Crear la migración SQL para habilitar vector y crear la tabla de document_chunks.
Implementar el servicio de Ingesta (Chunking + Embedding).
Implementar el servicio de Consulta (Retrieval + Generation).
Requisitos Técnicos:
Infraestructura SQL (migrations/008_rag_setup.sql):
Habilitar extensión: CREATE EXTENSION IF NOT EXISTS vector;.
Tabla document_chunks:
id: uuid.
document_id: uuid (FK).
content: text (el fragmento de texto real).
embedding: vector(1536) (dimensiones del modelo text-embedding-3-small de OpenAI o similar).
metadata: jsonb (número de página, sección).
Función de búsqueda: Procedimiento almacenado match_documents que use el operador &lt;=&gt; (cosine distance) para encontrar similitudes.
Servicio de Ingesta (ingest_document):
Chunking Strategy: Usa RecursiveCharacterTextSplitter (de LangChain o implementación propia).
chunk_size: 1000 caracteres.
chunk_overlap: 200 caracteres (para no cortar contexto entre frases).
Embedding: Genera vectores para cada chunk usando la API de OpenAI (text-embedding-3-small) o un modelo local si prefieres.
Persistencia: Guarda los chunks y vectores en Supabase.
Servicio de Consulta (answer_question):
Input: question (str), project_id (uuid).
Retrieval:
Vectoriza la pregunta.
Llama a match_documents filtrando por project_id (¡Crucial! No mezclar datos de clientes).
Recupera los top 5 chunks más relevantes.
Augmentation (Prompt):
Construye un prompt: "Usa el siguiente CONTEXTO para responder la PREGUNTA. Si no sabes, di 'No lo encuentro en el documento'."
Generation: Llama a Anthropic/OpenAI con el prompt enriquecido.
Entregable: Python del RagService y el archivo SQL de migración.</t>
  </si>
  <si>
    <t>Esta actividad es el paso de "Información" a "Conocimiento".
Hasta ahora, tenemos listas aisladas: una lista de Riesgos, una lista de Personas y una lista de Tareas. Un Knowledge Graph (Grafo de Conocimiento) conecta estos puntos. Permite responder preguntas complejas como: "¿Qué cláusula del contrato (A) generó el riesgo (B) que está retrasando la tarea (C) supervisada por el Stakeholder (D)?"
Usaremos NetworkX (una librería Python ligera) para construir este grafo en memoria y analizar impactos indirectos.
📝 Actividad: CE-S5-005
Nombre: Knowledge Graph Básico (NetworkX) Dominio: Backend / Data Science Story Points: 2 Dependencias: CE-S4-003 (Data Parsers), CE-S5-001 (Stakeholders), CE-S5-003 (Risks) Gate: Gate 4 (Connectivity / Multi-hop queries)
🚀 Prompt Optimizado
Contexto: Nuestros datos viven en silos (Tablas SQL separadas). Necesitamos unificar la visión del proyecto para detectar efectos dominó. Implementaremos el servicio apps/api/src/services/knowledge_graph.py utilizando la librería networkx. Este servicio cargará los datos de un proyecto y construirá un Grafo Dirigido (DiGraph) donde:
Nodos: Entidades (Task, Stakeholder, Risk, Clause).
Aristas (Edges): Relaciones (MANAGES, AFFECTS, BLOCKS, DERIVED_FROM).
Rol: Actúa como un Data Engineer especializado en Teoría de Grafos.
Tarea:
Implementar la clase ProjectKnowledgeGraph.
Definir métodos para construir el grafo desde la BD.
Implementar una consulta "Multi-hop" (Análisis de Impacto).
Requisitos Técnicos:
Definición del Grafo:
Usa networkx.DiGraph().
Nodos: Deben tener metadatos (type, label, properties).
Ej: (id="task_123", type="TASK", label="Cimentación").
Relaciones (Edges):
Stakeholder --[MANAGES]--&gt; Task (Basado en asignación).
Task --[DEPENDS_ON]--&gt; Task (Dependencias del cronograma).
Risk --[IMPACTS]--&gt; Task (Relación inferida o manual).
Risk --[DERIVED_FROM]--&gt; ContractClause (Trazabilidad).
Método de Construcción (build_graph(project_id)):
Debe hacer un fetch de todas las entidades del proyecto y añadir nodos y aristas iterativamente.
Tip: Usa IDs prefijados para evitar colisiones (ej. tsk_..., stk_...).
Algoritmo de Análisis (find_impact_chain(source_id, target_id)):
Implementa nx.shortest_path o nx.all_simple_paths para encontrar cómo dos entidades desconectadas se relacionan.
Caso de uso: Si el "Stakeholder A" está enfadado, ¿qué tareas y riesgos están bajo su responsabilidad directa o indirecta?
Centralidad (Opcional):
Calcula nx.degree_centrality para identificar los "Nodos Críticos" (ej. una Tarea de la que dependen 50 otras tareas y 3 riesgos).
Entregable: Python del servicio knowledge_graph.py y un script de prueba que imprima un camino entre un Riesgo y un Stakeholder.</t>
  </si>
  <si>
    <t>Esta actividad es el "refinado de combustible".
En el Sprint 2 (CE-S2-008) hicimos una extracción básica. Ahora, para que el RiskExtractorAgent y el Coherence Engine funcionen con precisión, necesitamos pasar de un "OCR glorificado" a una Extracción Semántica Estructurada. Si el sistema confunde una cláusula de "Pago" con una de "Penalización", todo el análisis de riesgos posterior será basura. Necesitamos una precisión quirúrgica (&gt;85%).
📝 Actividad: CE-S5-006
Nombre: Prompt Extracción Cláusulas Optimizado (High-Precision Extraction) Dominio: AI / Prompt Engineering Story Points: 2 Dependencias: CE-S2-008 (Dataset inicial) Gate: Gate 5 (Accuracy &gt; 85% en Golden Dataset)
🚀 Prompt Optimizado
Contexto: Estamos mejorando la capacidad del sistema para leer contratos PDF. Necesitamos crear el archivo maestro de instrucciones prompts/v1/clause_extraction.md. Este prompt será consumido por el modelo (Claude 3.5 o GPT-4o) para convertir texto plano y sucio (procedente de OCR) en una lista limpia de objetos JSON. El reto es manejar la jerarquía (1.1, 1.1.a), las referencias cruzadas ("Ver cláusula 5") y la categorización automática (¿Es esto un hito de pago o una multa?).
Rol: Actúa como un Lead Prompt Engineer especializado en NLP Legal.
Tarea: Redactar el prompt del sistema optimizado utilizando técnicas de Few-Shot Learning (dar ejemplos) y Chain of Thought (pedirle que razone antes de extraer).
Requisitos Técnicos del Prompt:
Definición de Persona:
"Eres un analista legal experto en contratos de construcción (FIDIC/NEC). Tu objetivo es estructurar texto legal sin perder ni alterar una sola palabra del contenido original."
Schema de Salida (JSON Enforcement):
El modelo debe devolver estrictamente:
JSON
{
  "clauses": [
    {
      "id": "14.2",
      "title": "Advance Payment",
      "text": "The Employer shall make an advance payment...",
      "category": "PAYMENT", // PAYMENT, PENALTY, SCOPE, TERMINATION, GENERAL
      "page_number": 12,
      "related_clause_ids": ["14.3", "4.2"] // Referencias encontradas en el texto
    }
  ]
}
Manejo de Casos Borde (Edge Cases):
Instruye explícitamente qué hacer con:
Tablas: "¿Convertir a markdown o ignorar?". (Decisión: Resumir contenido).
Encabezados/Pies de página: "Ignorar números de página y fechas de impresión".
Texto roto: "Si una frase se corta al final de la página, únerla coherentemente".
Estrategia de Few-Shot (Ejemplos):
Incluye en el prompt 3 ejemplos de input (texto sucio) -&gt; output (JSON perfecto).
Ejemplo 1: Cláusula simple.
Ejemplo 2: Cláusula con sub-puntos (a, b, c).
Ejemplo 3: Cláusula tachada o "Intentionally Deleted".
Entregable: completo del archivo prompts/v1/clause_extraction.md en formato Markdown/Texto plano.</t>
  </si>
  <si>
    <t>sta actividad es el "cerebro" detrás del servicio que diseñamos hace un momento (CE-S5-002).
Un script de Python puede orquestar la llamada, pero si el Prompt es malo, la clasificación será aleatoria. Necesitamos que la IA entienda la política de obra: Un "Inspector de Seguridad" tiene Poder Alto (puede cerrar la obra) aunque no sea un directivo. Un "Vecino" tiene Poder Bajo pero Interés Alto (ruido).
El prompt debe enseñar estos matices al modelo para alcanzar esa precisión del &gt;80%.
Shutterstock
📝 Actividad: CE-S5-007
Nombre: Prompt Clasificación Stakeholders (Matrix Logic) Dominio: AI / Prompt Engineering Story Points: 1 Dependencias: CE-S5-002 (Service Implementation), CE-S2-008 (Golden Dataset) Gate: Gate 5 (Inference Accuracy &gt; 80%)
🚀 Prompt Optimizado
Contexto: Necesitamos crear el archivo prompts/v1/stakeholder_classification.md. Este prompt recibirá una lista de stakeholders (Nombre, Rol, Empresa) y el contexto del proyecto. Su salida debe asignar los valores numéricos de Poder (1-10) e Interés (1-10) y determinar el Cuadrante de Gestión. El desafío es reducir la subjetividad: El modelo debe aplicar criterios estándar de gestión de proyectos (PMBOK/Prince2).
Rol: Actúa como un Lead Prompt Engineer y experto en Gestión de Stakeholders.
Tarea: Redactar el prompt del sistema optimizado.
Requisitos Técnicos del Prompt:
Definiciones Claras (Grounding):
Define explícitamente qué significa Poder en este contexto: "Capacidad de detener el proyecto, aprobar presupuesto o cambiar el alcance."
Define Interés: "Grado en que el proyecto afecta sus operaciones diarias, reputación o finanzas."
Instrucciones de Razonamiento (Chain of Thought):
Pide al modelo que genere un campo rationale antes de asignar el score.
Ejemplo: "Rol: Health &amp; Safety Officer. Rationale: Tienen autoridad legal para detener trabajos inseguros (High Power), y su trabajo depende de la métrica de accidentes (High Interest)."
Mapeo de Cuadrantes:
Instruye al modelo para mapear los scores a los cuadrantes:
Power &gt; 5 &amp; Interest &gt; 5 -&gt; MANAGE_CLOSELY
Power &gt; 5 &amp; Interest &lt;= 5 -&gt; KEEP_SATISFIED
Power &lt;= 5 &amp; Interest &gt; 5 -&gt; KEEP_INFORMED
Power &lt;= 5 &amp; Interest &lt;= 5 -&gt; MONITOR
Manejo de Ambigüedad:
Instruye: "Si el rol es genérico (ej. 'Asistente') y no hay más contexto, asume bajo poder."
Instruye: "Si la empresa es el 'Cliente' (Client/Employer), asume Poder máximo por defecto."
Output JSON:
Estructura exacta para que pydantic pueda validarlo sin errores.
Entregable:  archivo prompts/v1/stakeholder_classification.md con ejemplos Few-Shot incluidos.</t>
  </si>
  <si>
    <t>Esta actividad cierra el círculo de la gestión de Stakeholders.
Ya tenemos los agentes que extraen (S5-001) y clasifican (S5-002). Ahora necesitamos exponer esos datos al Frontend para que pueda pintar la Matriz de Mendelow y permitir al usuario corregir manualmente (CRUD) si la IA se equivocó ("Este becario no tiene Poder Alto").
📝 Actividad: CE-S5-010
Nombre: Endpoints /projects/{id}/stakeholders (CRUD &amp; Classification) Dominio: Backend / API Story Points: 1 Dependencias: CE-S2-003 (DB Models), CE-S5-001 (Extractor Agent) Gate: Gate 4 (API Readiness)
🚀 Prompt Optimizado
Contexto: Necesitamos exponer la gestión de Stakeholders en la API: apps/api/src/routers/stakeholders.py. Estos endpoints alimentarán la vista de "Stakeholder Matrix" en el frontend. Es crucial que soportemos la actualización parcial (PATCH), ya que una interacción común en el frontend será arrastrar y soltar un stakeholder de un cuadrante a otro, lo que actualizará sus valores de power e interest.
Rol: Actúa como un Backend Developer experto en FastAPI y Pydantic.
Tarea: Implementar el router con las operaciones CRUD estándar.
Requisitos Técnicos:
Modelos Pydantic (schemas/stakeholder.py):
StakeholderCreate: name, role, company, type (Enum), power (1-10, opcional), interest (1-10, opcional).
StakeholderUpdate: Todos opcionales.
StakeholderResponse: Incluye id, quadrant (calculado o almacenado), source_clause_id (trazabilidad).
Endpoints:
GET /projects/{project_id}/stakeholders: Devuelve la lista. Soporta filtrado por quadrant.
POST /projects/{project_id}/stakeholders: Creación manual.
PATCH /stakeholders/{id}: Para actualizar coordenadas (power/interest) o corregir el nombre.
Lógica de Negocio: Si se actualiza power o interest, recalcula automáticamente el campo quadrant antes de guardar en BD.
DELETE /stakeholders/{id}: Borrado lógico (soft delete) o físico.
Validación:
Asegura que power e interest estén siempre entre 1 y 10.
Si se proporciona source_clause_id, verifica que exista (opcional, pero recomendado).
Entregable: de stakeholders.py y los esquemas Pydantic asociados.</t>
  </si>
  <si>
    <t>Esta actividad marca el salto de la Lógica Determinista (Matemáticas) a la Lógica Semántica (Juicio).
Hasta ahora, nuestras reglas eran rígidas: if date_a &gt; date_b. Pero hay reglas que requieren "entender":
"¿Es la descripción técnica del presupuesto coherente con los planos?"
"¿Se mencionan todas las exclusiones del contrato en el alcance?"
Para esto no sirve un if. Necesitamos un LLM que actúe como juez. El LlmRuleEvaluator es la clase base que estandariza cómo le preguntamos a la IA y cómo procesamos su veredicto.
📝 Actividad: CE-S5-008
Nombre: LlmRuleEvaluator Base Class (Semantic Rules Engine) Dominio: AI / Backend architecture Story Points: 1 Dependencias: CE-S2-007 (Base Agent), CE-S4-005 (Rule Interface) Gate: Gate 5 (Semantic Analysis)
🚀 Prompt Optimizado
Contexto: Hemos agotado las reglas matemáticas. Ahora entramos en las reglas cualitativas. Necesitamos una clase base abstracta en apps/api/src/coherence/llm_rule_evaluator.py que herede de la interfaz RuleEvaluator que ya tenemos, pero que implemente la lógica específica para llamar a la IA. Esta clase debe encargarse del "trabajo sucio": Inyectar variables en un prompt, enviar la petición a Anthropic/OpenAI, recibir el JSON, validarlo y manejar reintentos si el formato es incorrecto.
Rol: Actúa como un Software Architect especializado en integración de LLMs.
Tarea: Implementar la clase base LlmRuleEvaluator.
Requisitos Técnicos:
Clase Abstracta:
Debe requerir que las subclases definan:
system_prompt_template: La instrucción base (ej. "Eres un experto en costes...").
user_prompt_template: La plantilla con placeholders (ej. "Compara el texto A: {text_a} con el texto B: {text_b}").
Método evaluate(context) -&gt; RuleResult:
Este método debe ser concreto (implementado en la base).
Flujo:
Extraer los datos necesarios del context (usando un método hook _prepare_inputs).
Renderizar los prompts.
Llamar al AIService solicitando salida JSON.
Parsear la respuesta en un modelo Pydantic LlmEvaluationOutput (status, reasoning, confidence).
Mapear eso al RuleResult estándar del sistema.
Schema de Salida de la IA:
Forzar siempre esta estructura JSON:
JSON
{
  "compliant": boolean,
  "reasoning": "string explicando la discrepancia",
  "severity": "LOW|MEDIUM|HIGH|CRITICAL",
  "evidence_quote": "fragmento del texto que prueba el fallo"
}
Manejo de Errores:
Si el LLM falla o alucina el formato JSON, debe capturar la excepción y devolver un RuleResult con estado ERROR (para no romper todo el proceso de scoring), o intentar un re-try automático.
Entregable: Python de llm_rule_evaluator.py utilizando abc (Abstract Base Classes) y pydantic</t>
  </si>
  <si>
    <t>Esta es una actividad pequeña pero vital para la gobernanza del proyecto.
La Matriz RACI (Responsible, Accountable, Consulted, Informed) cruza las Tareas (del cronograma) con los Stakeholders (extraídos). La IA intentará adivinar quién hace qué ("El Arquitecto probablemente aprueba los Planos"). Este endpoint permite al frontend pintar esa rejilla y, lo más importante, permite al usuario decir: "No, el Arquitecto solo es Consultado, el que aprueba es el Cliente".
📝 Actividad: CE-S5-011
Nombre: Endpoints /projects/{id}/raci (Matrix View &amp; HITL Updates) Dominio: Backend / API Story Points: 0.5 Dependencias: CE-S5-010 (Stakeholders), CE-S3-008 (Tasks) Gate: Gate 6 (User Validation)
🚀 Prompt Optimizado
Contexto: Necesitamos exponer la matriz de responsabilidades en apps/api/src/routers/raci.py. A diferencia de un CRUD normal, esta vista suele ser una "Pivot Table": Filas = Tareas, Columnas = Stakeholders, Celdas = Rol (R, A, C, I). El frontend consumirá esto para dibujar una tabla interactiva. Además, necesitamos un mecanismo para que el usuario "fije" una asignación manualmente (Human-in-the-Loop), evitando que una re-ejecución de la IA la sobrescriba.
Rol: Actúa como un Backend Lead experto en diseño de APIs RESTful para estructuras de datos complejas.
Tarea: Implementar el router para la gestión de la matriz RACI.
Requisitos Técnicos:
Endpoint de Lectura (GET /projects/{id}/raci):
No devuelvas una matriz 2D pura. Devuelve una estructura anidada fácil de iterar:
JSON
{
  "matrix": [
    {
      "task_id": "uuid",
      "task_name": "Cimentación",
      "assignments": [
        { "stakeholder_id": "uuid_1", "role": "RESPONSIBLE", "is_verified": false },
        { "stakeholder_id": "uuid_2", "role": "ACCOUNTABLE", "is_verified": true }
      ]
    }
  ]
}
Endpoint de Escritura (PUT /assignments):
Permite actualizar o crear una asignación específica.
Payload: { "task_id": "...", "stakeholder_id": "...", "role": "CONSULTED" }.
Lógica HITL: Al recibir este PUT, el backend debe marcar automáticamente el flag is_verified = true (o source = "HUMAN") en la base de datos. Esto protege el dato de futuros barridos de la IA.
Validación de Reglas RACI (Opcional pero recomendada):
Regla de Oro: Solo puede haber un "Accountable" por tarea. Si el usuario intenta asignar un segundo "A", lanza un error 400 o advierte.
Entregable: raci.py y los modelos Pydantic de respuesta.</t>
  </si>
  <si>
    <t>Esta actividad es la diferencia entre "Creer" y "Saber".
Cuando la IA acusa al usuario de un error ("Falta el muro"), el usuario se pone a la defensiva. Si la IA simplemente dice "Lo leí por ahí", perdemos su confianza. Si la IA dice: "Lo dice la Cláusula 3.1 en la página 14 (Ver aquí)", ganamos la discusión.
Como los LLMs trabajan con texto y no con coordenadas PDF, necesitamos un Servicio de Localización Inversa: La IA cita el texto, y nosotros buscamos dónde está ese texto físicamente en el documento.
📝 Actividad: CE-S5-010
Nombre: Source Locator Service (Evidence Linking &amp; Fuzzy Search) Dominio: AI / Backend Story Points: 2 Dependencias: CE-S5-009 (Rules), CE-S4-003 (Parsers) Gate: Gate 5 (Explainability)
🚀 Prompt Optimizado
Contexto: Las reglas semánticas (RuleScopeConsistency) devuelven un texto de evidencia ("Falta el cerramiento exigido en la sección de Trabajos Exteriores"). Necesitamos convertir esa cita textual en metadatos navegables (page_number, clause_id, snippet_context). Crearemos el servicio apps/api/src/services/source_locator.py. Este servicio recibirá una frase generada por la IA y buscará la mejor coincidencia en nuestra base de datos de fragmentos (document_chunks) para devolver la ubicación exacta.
Rol: Actúa como un Backend Developer experto en algoritmos de búsqueda de texto.
Tarea:
Implementar la clase SourceLocator.
Integrarla en el flujo de LlmRuleEvaluator.
Requisitos Técnicos:
Algoritmo de Fuzzy Matching:
La IA a veces parafrasea. No podemos usar ==.
Usa la librería thefuzz (antes fuzzywuzzy) o rapidfuzz en Python.
Implementa un método find_best_match(query_text, document_id) que itere sobre los chunks del documento y devuelva el que tenga mayor similitud (score &gt; 85).
Estrategia de Búsqueda Híbrida:
Paso 1 (Rápido): Búsqueda por ID de Cláusula. Si la IA devuelve "Según Cláusula 14.2", busca directamente en la tabla clauses por ese ID.
Paso 2 (Lento): Si no hay ID, usa Fuzzy Search sobre el campo content de document_chunks.
Schema de Evidencia Enriquecida:
Actualiza el objeto Alert para que incluya:
JSON
"evidence_location": {
  "document_id": "uuid",
  "page_number": 42,
  "clause_id": "14.2",
  "highlight_text": "The Contractor shall construct a perimeter fence...",
  "confidence": 0.95
}
Integración:
Modifica LlmRuleEvaluator.evaluate: Una vez que tengas el reasoning y el evidence_quote del LLM, pasa ese quote por el SourceLocator antes de guardar la alerta en la base de datos.
Entregable: Python de source_locator.py y un test unitario probando una coincidencia parcia</t>
  </si>
  <si>
    <t>sta actividad ataca uno de los mayores dolores de cabeza en la construcción: La Subjetividad.
Frases como "acabados de primera calidad" o "a satisfacción del ingeniero" son bombas de relojería. Lo que para el arquitecto es "primera calidad", para el contratista puede ser "estándar". Esta regla usa la IA para leer el Alcance y marcar todas las palabras que no son medibles ni específicas.
📝 Actividad: CE-S5-009
Nombre: Primera Regla LLM Cualitativa (Scope Ambiguity Detection) Dominio: AI / Backend Story Points: 2 Dependencias: CE-S5-008 (Base Class) Gate: Gate 5 (Semantic Clarity)
🚀 Prompt Optimizado
Contexto: Vamos a implementar la regla apps/api/src/coherence/rules/scope_ambiguity.py. Esta regla hereda de LlmRuleEvaluator. Su objetivo no es comparar documentos, sino analizar la calidad del texto del Alcance (Scope of Works). Buscamos términos vagos, indefinidos o subjetivos que puedan causar disputas futuras ("Claims").
Rol: Actúa como un Contract Manager muy estricto que odia la ambigüedad.
Tarea:
Implementar la clase RuleScopeAmbiguity.
Diseñar el Prompt de Detección de Ambigüedad.
Requisitos Técnicos:
Heredar de LlmRuleEvaluator:
Reutiliza la lógica de llamada y parseo implementada en la actividad anterior.
Prompt Engineering (user_prompt_template):
Instrucción: "Analiza el siguiente texto del Alcance de Obra. Identifica frases vagas, subjetivas o no cuantificables."
Lista Negra (Ejemplos a detectar):
Adjetivos subjetivos: "buena calidad", "adecuado", "suficiente", "mejor práctica".
Indefinición temporal: "lo antes posible", "en tiempo razonable".
Indefinición de autoridad: "a juicio de la dirección", "según se instruya".
Generalizaciones: "etc.", "y similares", "incluyendo pero no limitado a" (esta última es legalmente válida pero peligrosa si se abusa).
Lógica de Evaluación:
Si se detectan términos de Alto Riesgo (ej. "a coste del contratista" sin especificar cuánto), la regla falla (FAIL).
Si son términos menores, genera una WARNING.
Schema de Respuesta (JSON):
JSON
{
  "compliant": false,
  "ambiguities": [
    {
      "term": "finish to be of high quality",
      "category": "SUBJECTIVE_QUALITY",
      "risk_explanation": "'High quality' is not a standard. Specify an ISO/ASTM standard instead.",
      "suggested_fix": "Specify 'Finish level Q4 according to Eurocode...'"
    }
  ],
  "overall_clarity_score": 65
}
Entregable:  Python de scope_ambiguity.py con el prompt optimizado y la lógica de clasificación de severidad.</t>
  </si>
  <si>
    <t>Esta actividad es el puente crítico entre la "Inteligencia Artificial" y la "Evidencia Real".
Cuando la IA dice "El contrato prohíbe esto", el usuario escéptico preguntará: "¿Dónde?". El SourceLocator responde a esa pregunta. Convierte una cita textual (que puede ser parafraseada por el LLM) en una ubicación física exacta (Página 42, Párrafo 3) usando búsqueda difusa (Fuzzy Search).
📝 Actividad: CE-S5-010
Nombre: Source Locator Service (Evidence Linking &amp; Fuzzy Search) Dominio: AI / Backend Story Points: 2 Dependencias: CE-S5-009 (Rules), CE-S4-003 (Parsers) Gate: Gate 5 (Explainability)
🚀 Prompt Optimizado
Contexto: Las reglas semánticas generan alertas con una evidence_quote (texto citado). Necesitamos implementar apps/api/src/services/source_locator.py. Este servicio recibe el texto de la IA y busca su ubicación en la base de datos de fragmentos (document_chunks) que creamos durante la fase de RAG/Ingesta. El reto es que la IA a veces cambia una palabra o corta una frase, por lo que una búsqueda exacta (LIKE '%text%') fallará. Necesitamos Fuzzy Matching.
Rol: Actúa como un Backend Developer experto en algoritmos de búsqueda y Python.
Tarea:
Implementar la clase SourceLocator.
Integrarla en el flujo de evaluación de reglas.
Requisitos Técnicos:
Librería de Matching:
Usa thefuzz (anteriormente fuzzywuzzy) con python-Levenshtein para velocidad.
Método principal: find_best_match(project_id, document_type, quote_text).
Estrategia de Búsqueda en 2 Pasos:
Paso 1 (Contextual): Si la alerta viene con un clause_id (ej. "14.2"), busca primero en los chunks etiquetados con ese ID en los metadatos. Es O(1) y muy preciso.
Paso 2 (Fuerza Bruta Difusa): Si falla el paso 1, recupera todos los chunks del documento y usa process.extractOne para encontrar el segmento más similar.
Umbral de Confianza: Si el score es &lt; 85, marca la ubicación como "Aproximada" o no devuelvas nada para evitar falsos positivos.
Salida Estructurada (SourceLocation):
Python
class SourceLocation(BaseModel):
    document_id: UUID
    page_number: int
    chunk_text: str  # El texto real en el PDF, no el de la IA
    similarity_score: int
    bbox: Optional[List[float]] = None # Para resaltado futuro en frontend
Integración con LlmRuleEvaluator:
En el método evaluate, justo antes de devolver el resultado, llama a SourceLocator.locate().
Inyecta el objeto SourceLocation dentro de la metadata de la Alerta generada.
Entregable: Python de source_locator.py y un test unitario que demuestre cómo encuentra una frase aunque tenga una errata leve.</t>
  </si>
  <si>
    <t>Esta actividad es la última línea de defensa financiera.
Ya tenemos el Dashboard (S5-012) para verlo y el Rate Limiter (S5-013) para frenarlo, pero si nadie mira el dashboard y el tráfico es legítimo (no spam), el gasto puede dispararse igual. Esta actividad asegura que el sistema grite "¡FUEGO!" (vía Email o Slack) cuando nos acercamos al límite de la tarjeta de crédito.
📝 Actividad: CE-S5-014
Nombre: Budget Alerts Email/Webhook (Financial Safeguards) Dominio: Backend / FinOps Story Points: 1 Dependencias: CE-S5-012 (Cost Metrics), Configuración SMTP/Webhook Gate: Gate 7 (Operational Control)
🚀 Prompt Optimizado
Contexto: Los LLMs son caros. Un ataque DDoS o un error de código puede consumir el presupuesto mensual en horas. Necesitamos un servicio en segundo plano apps/api/src/services/budget_alerts.py que monitoree el gasto acumulado. Este servicio no bloquea (eso lo hace el Rate Limiter), sino que Notifica. Se ejecutará periódicamente (ej. cada 10 minutos vía Celery Beat).
Rol: Actúa como un Backend Lead enfocado en FinOps (Operaciones Financieras).
Tarea:
Implementar la clase BudgetMonitor.
Configurar la lógica de umbrales y notificación.
Requisitos Técnicos:
Lógica de Umbrales (Stateful):
Define niveles de alerta: 50%, 75%, 90%, 100%.
Persistencia: Guarda en Redis/DB el valor last_alert_level para el mes actual.
Regla: Solo envía alerta si current_usage &gt;= threshold Y threshold &gt; last_alert_level. Esto evita spam (recibir 500 emails porque el gasto está al 91%).
Cálculo de Gasto:
Suma el coste de los tokens de input y output del mes en curso (usando los precios de OpenAI/Anthropic definidos en constantes).
Canales de Notificación:
Email: Usa FastAPI-Mail o SMTP simple para enviar a la lista de ADMINS.
Webhook (Opcional pero recomendado): Envía un payload JSON a una URL (ej. Slack Channel Incoming Webhook) para visibilidad inmediata del equipo.
Payload de la Alerta:
JSON
{
  "level": "CRITICAL",
  "message": "Budget utilization reached 90%",
  "current_spend": "$450.00",
  "limit": "$500.00",
  "timestamp": "2026-01-31T23:59:00Z"
}
Entregable:  Python de budget_alerts.py y la configuración de la tarea periódica en Celery.</t>
  </si>
  <si>
    <t>Esta actividad asegura que toda la cadena de "Inteligencia Política" funcione sin fisuras antes de conectar el Frontend.
No sirve de nada tener un extractor y un clasificador si el dato se pierde por el camino o si la API de RACI no encuentra a los usuarios creados. Este test de integración valida el flujo completo: Documento -&gt; Extracción -&gt; Clasificación -&gt; API -&gt; RACI.
📝 Actividad: CE-S5-015
Nombre: Tests Integración Stakeholder Flow (End-to-End Backend) Dominio: QA / Testing Story Points: 1 Dependencias: CE-S5-001 (Extractor), CE-S5-002 (Classifier), CE-S5-011 (RACI) Prioridad: P0 (Quality Gate)
🚀 Prompt Optimizado
Contexto: Hemos construido componentes aislados para gestionar Stakeholders. Ahora necesitamos un test de integración en tests/integration/test_stakeholder_flow.py que pruebe la historia completa. Dado que llamar a OpenAI es lento y costoso, mockearemos las respuestas del LLM, pero ejecutaremos el resto del código (Base de datos, FastAPI, Pydantic) de forma real.
Rol: Actúa como un QA Lead experto en Pytest y automatización.
Tarea: Crear un test que simule el ciclo de vida de un Stakeholder.
Requisitos Técnicos:
Setup (conftest.py):
Usa una base de datos de prueba (SQLite en memoria o contenedor Postgres efímero).
Crea un project_id de prueba.
Escenario de Prueba (test_full_stakeholder_lifecycle):
Paso 1 (Ingesta): Simula la subida de un contrato (o inyecta texto directamente en el servicio de extracción).
Paso 2 (Mock AI): Intercepta la llamada a AIService.
Input: Texto del contrato.
Output Mock: [{"name": "Juan Perez", "role": "Project Manager", "company": "Acme Corp"}].
Paso 3 (Verificación API): Llama a GET /projects/{id}/stakeholders.
Assert: Debe devolver 1 stakeholder.
Assert: power e interest deben ser nulos o valores por defecto.
Paso 4 (Clasificación): Dispara la clasificación (endpoint o servicio).
Mock AI: Devuelve power=9, interest=9, rationale="Es el jefe".
Paso 5 (Validación RACI): Llama a GET /projects/{id}/raci.
Assert: "Juan Perez" debe aparecer como una columna en la matriz.
Testing de Edge Cases:
¿Qué pasa si la IA extrae duplicados? (El sistema debe fusionarlos o descartarlos).
¿Qué pasa si el rol es desconocido? (Debe clasificarse como Monitor por defecto).
Entregable:  test_stakeholder_flow.py usando pytest y unittest.mock.</t>
  </si>
  <si>
    <t>Esta actividad es la base estructural del proyecto.
Para que el RACI Viewer (S6-006) tenga filas que asignar, y para que el Evidence Viewer (S6-003) pueda vincular una cláusula a un "Muro de Hormigón", necesitamos que el Backend sirva la estructura de desglose de trabajo (WBS) y la lista de materiales (BOM). No es un simple CRUD plano; el WBS es un Árbol Jerárquico (Fases -&gt; Tareas -&gt; Subtareas) y la API debe devolverlo anidado correctamente.
📝 Actividad: CE-S6-008
Nombre: Endpoints /projects/{id}/wbs y /bom (Hierarchical Data) Dominio: Backend / API Story Points: 1 Dependencias: CE-S2-003 (DB Models) Prioridad: P0 (Core Data Structure)
🚀 Prompt Optimizado
Contexto: El Frontend necesita pintar el árbol del WBS en la Matriz RACI y en el selector de enlaces. Necesitamos exponer apps/api/src/routers/wbs.py y apps/api/src/routers/bom.py. El desafío principal es que el WBS se almacena en la BD como lista de adyacencia (parent_id), pero el Frontend (React) prefiere recibir una estructura anidada (children: []) para renderizarla fácilmente.
Rol: Actúa como un Backend Lead experto en algoritmos de recursividad y FastAPI.
Tarea:
Implementar los endpoints de lectura y escritura para WBS y BOM.
Implementar la transformación de "Lista Plana" a "Árbol Jerárquico" para el WBS.
Requisitos Técnicos:
Modelos Pydantic (Recursivos):
Define WBSNode que contenga un campo children: List['WBSNode'] = [].
Usa WBSNode.update_forward_refs() para permitir la auto-referencia.
Endpoints WBS:
GET /projects/{id}/wbs:
Recupera todos los items del proyecto.
Algoritmo: Construye el árbol en memoria (O(n)) usando un diccionario de mapeo ID-&gt;Nodo antes de devolver el JSON. No hagas N consultas SQL.
POST /wbs: Crea un item (puede recibir parent_id).
Endpoints BOM (Bill of Materials):
GET /projects/{id}/bom: Lista plana de materiales.
quantity, unit, unit_price, total_price.
Validación de Integridad:
Al borrar un nodo WBS (DELETE), asegura que no tenga hijos (o implementa borrado en cascada con advertencia).
Entregable:
wbs.py con la lógica de serialización de árbol.
Código de bom.py.</t>
  </si>
  <si>
    <t>Esta actividad es el "Botón de Arranque" de la inteligencia artificial.
Hasta ahora, los Agentes (Sprint 3) y el RAG (Sprint 5) existen, pero están "dormidos". Necesitamos un endpoint que los despierte. Dado que un análisis completo de un contrato puede tardar de 30 segundos a 2 minutos, no podemos usar una petición HTTP normal (que haría timeout). Implementaremos el patrón Async Job Queue con Polling.
📝 Actividad: CE-S6-009
Nombre: Endpoint POST /projects/{id}/analyze (Async Trigger) Dominio: Backend / API Story Points: 1 Dependencias: CE-S3-006 (Orchestrator), Redis (Celery Broker) Prioridad: P0 (Core Functionality)
🚀 Prompt Optimizado
Contexto: Necesitamos exponer la funcionalidad de análisis en apps/api/src/routers/analysis.py. El frontend llamará a este endpoint cuando el usuario haga clic en "Analizar Proyecto". El backend debe delegar la tarea pesada a un worker de Celery y devolver inmediatamente un ID de seguimiento (job_id).
Rol: Actúa como un Backend Lead experto en FastAPI y Patrones Asíncronos.
Tarea:
Crear el endpoint de inicio de análisis (POST).
Crear el endpoint de consulta de estado (GET).
Implementar bloqueo de concurrencia (evitar doble análisis).
Requisitos Técnicos:
Endpoint Trigger (POST /projects/{id}/analyze):
Idempotencia: Antes de lanzar nada, consulta en Redis si ya existe un job_id en estado PROCESSING para este project_id. Si es así, devuelve 409 Conflict ("Analysis already in progress").
Disparo: Si está libre, llama a celery_app.send_task('run_project_analysis', args=[project_id]).
Respuesta: HTTP 202 Accepted.
JSON
{
  "message": "Analysis started",
  "job_id": "550e8400-e29b-41d4-a716-446655440000",
  "status_url": "/api/v1/projects/123/analysis/550e..."
}
Endpoint Polling (GET /projects/{id}/analysis/{job_id}):
Consulta el estado de la tarea en Celery (AsyncResult(job_id)).
Estados Mapeados:
PENDING -&gt; "Queued"
STARTED -&gt; "Processing (Reading Documents...)"
SUCCESS -&gt; "Completed"
FAILURE -&gt; "Failed"
Si es SUCCESS, incluye un resumen breve (ej. "Found 5 risks").
Seguridad:
Verifica que el usuario tenga permisos WRITE sobre el proyecto antes de iniciar.
Entregable:
analysis.py.
Modelos Pydantic para AnalysisResponse y JobStatus.</t>
  </si>
  <si>
    <t>Esta actividad cierra el círculo de trazabilidad financiera y técnica.
Igual que vinculamos las Tareas (WBS) al contrato, debemos vincular los Materiales (BOM). Si el contrato dice en la Cláusula 7.2 que "El hormigón debe ser tipo H-30", y la IA extrae "Hormigón H-30" en la lista de materiales, necesitamos que al hacer clic en ese material, el sistema te lleve a la Cláusula 7.2. Esto evita disputas sobre especificaciones técnicas.
📝 Actividad: CE-S6-011
Nombre: Propagar clause_id a BOM Items (Material Traceability) Dominio: Backend / Data Integrity Story Points: 1 Dependencias: CE-S3-005 (Extractors), CE-S6-008 (BOM Endpoints) Gate: Gate 4 (Traceability)
🚀 Prompt Optimizado
Contexto: Hemos extraído la Lista de Materiales (BOM) usando los agentes del Sprint 3. Cada item del BOM tiene un campo de texto source_ref (ej. "Spec 4.1" o "Cláusula de Precios"). Necesitamos un servicio en apps/api/src/services/bom_service.py que traduzca esas referencias textuales en enlaces duros (Foreign Keys) a la tabla clauses.
Rol: Actúa como un Backend Lead experto en limpieza de datos (Data Cleansing).
Tarea:
Implementar la función link_bom_to_clauses(project_id).
Aplicar lógica de coincidencia (Matching) similar al WBS pero ajustada a especificaciones técnicas.
Requisitos Técnicos:
Lógica de Matching:
Recupera todos los bom_items del proyecto donde clause_id es NULL.
Prioridad 1 (Specs): Busca coincidencias en cláusulas etiquetadas como TECHNICAL_SPEC. A menudo los materiales se definen en anexos técnicos, no en el cuerpo legal principal.
Prioridad 2 (Precios): Si no hay spec, busca en cláusulas de tipo PRICING.
Regex: Implementa extractores para formatos comunes como "Item 4.2", "Spec 4.2", "4.2.1".
Validación de Unidades:
(Opcional pero valioso) Si la cláusula menciona "m3" y el item tiene "kg", marca un flag unit_mismatch para revisión humana.
Ejecución:
Integra esta llamada en el pipeline de análisis (analysis.py), inmediatamente después de link_wbs_to_clauses.
Entregable:
bom_service.py.
Script de migración de datos (si aplica) o test unitario.</t>
  </si>
  <si>
    <t>Esta actividad añade la "Voz" al sistema.
Hasta ahora, la comunicación ha sido unidireccional: El sistema analiza y te muestra tablas. Con el Chat RAG, la comunicación se vuelve bidireccional. El usuario pregunta "¿Quién es responsable de las licencias?" y el sistema responde. El desafío técnico aquí es la Latencia. Un LLM tarda segundos en "pensar". Si el usuario espera 5 segundos mirando una pantalla en blanco, pensará que se rompió. Por eso es obligatorio usar Streaming (efecto de máquina de escribir) para dar feedback instantáneo.
📝 Actividad: CE-S6-012
Nombre: Chat UI with Streaming Responses (RAG Client) Dominio: Frontend / AI Interaction Story Points: 3 Dependencias: CE-S6-001 (API Client), CE-S5-004 (RAG Backend) Prioridad: P0 (High User Value)
🚀 Prompt Optimizado
Contexto: El backend tiene un endpoint POST /rag/chat que acepta { query, project_id } y devuelve una respuesta generada por IA. Vamos a implementar el componente src/components/chat/ChatWidget.tsx. Puede ser un panel lateral (Sheet) o una ventana flotante. Necesitamos manejar Server-Sent Events (SSE) o Streaming HTTP para que el texto aparezca letra por letra.
Rol: Actúa como un AI Frontend Engineer experto en interfaces conversacionales (tipo ChatGPT) y React Hooks.
Tarea:
Crear la interfaz de chat (Lista de mensajes + Input Area).
Implementar la lógica de Streaming (Fetch API + ReadableStream).
Renderizar las citas/fuentes (Citations) de forma interactiva.
Requisitos Técnicos:
Gestión de Estado (useChat hook):
Mantén un array messages: [{ role: 'user', content: '...' }, { role: 'assistant', content: '...', sources: [] }].
Estado isStreaming: Deshabilita el botón de enviar mientras se genera la respuesta.
Estado isLoading: Muestra "Thinking..." antes de recibir el primer byte.
Lógica de Streaming (Critical):
No uses Axios (complicado para streams en navegador). Usa fetch nativo.
Loop de Lectura:
TypeScript
const response = await fetch('/api/rag/chat', ...);
const reader = response.body?.getReader();
const decoder = new TextDecoder();
while (true) {
  const { done, value } = await reader.read();
  if (done) break;
  const chunk = decoder.decode(value);
  // Actualiza el último mensaje del estado añadiendo el chunk
  setMessages(prev =&gt; updateLastMessage(prev, chunk));
}
Renderizado de Citas (Source Citations):
El backend debe devolver las fuentes (quizás al final del stream o en un evento separado).
Detecta patrones como [1] o [Source: Doc A] en el texto.
Reemplázalos con un componente &lt;Button variant="link" onClick={() =&gt; openPdf(page)}&gt;.
Al hacer clic, debe abrir el EvidenceViewer (S6-003) en la página exacta.
UI/UX:
Auto-scroll: Mantén el scroll pegado al fondo (scrollIntoView) mientras llega texto nuevo.
Empty State: Muestra "Preguntas sugeridas" (ej. "¿Cuáles son los hitos de pago?", "¿Hay penalizaciones por retraso?").
Entregable:
ChatWidget.tsx.
Hook personalizado useChatStream.ts.</t>
  </si>
  <si>
    <t>Esta actividad es el "pegamento" final que da sentido a la trazabilidad.
Ya vinculamos WBS -&gt; Cláusula (S6-010) y BOM -&gt; Cláusula (S6-011). Ahora, cuando el usuario hace clic en una Alerta (que nace de una Cláusula), el sistema debe ser capaz de responder a la pregunta: "¿Qué impacto tiene esta alerta en mi cronograma y mis compras?". No basta con mostrar el PDF; hay que traerse todo el grafo de dependencias en una sola consulta eficiente.
📝 Actividad: CE-S6-012
Nombre: Evidence Viewer Logic Query (Impact Analysis) Dominio: Backend / Data Aggregation Story Points: 1 Dependencias: CE-S6-010 (WBS Links), CE-S6-011 (BOM Links) Gate: Gate 4 (Traceability)
🚀 Prompt Optimizado
Contexto: El frontend EvidenceViewer tiene una pestaña llamada "Impacto". Para poblarla, necesitamos un servicio en apps/api/src/services/evidence_service.py que, dado un alert_id, reconstruya toda la historia:
Busque la Alerta.
Busque la Cláusula asociada (alert.evidence_location suele apuntar a una página, pero la relación lógica es con la cláusula).
Busque todos los Items del WBS vinculados a esa cláusula (FK creada en S6-010).
Busque todos los Items del BOM vinculados a esa cláusula (FK creada en S6-011).
Rol: Actúa como un Backend Lead experto en SQL Optimization y ORM (SQLAlchemy).
Tarea:
Implementar get_alert_impact_context(alert_id).
Optimizar la consulta para evitar el problema "N+1" (muchas consultas pequeñas).
Requisitos Técnicos:
Consulta Eager Loading:
Usa joinedload o selectinload de SQLAlchemy para traer las relaciones en 1 o 2 queries máximo.
Pseudo-query: SELECT * FROM alerts JOIN clauses ON ... LEFT JOIN wbs_items ON ... LEFT JOIN bom_items ON ... WHERE alert.id = :id
Estructura de Respuesta (DTO):
JSON
{
  "alert": { "id": "...", "severity": "CRITICAL", "title": "Penalización por Retraso" },
  "source_clause": { "id": "...", "label": "Cláusula 5.2", "text": "..." },
  "impacted_schedule": [
    { "wbs_id": "...", "task_name": "Cimentación", "status": "IN_PROGRESS" }
  ],
  "impacted_budget": [
    { "bom_id": "...", "material": "Hormigón H-30", "cost": 5000 }
  ]
}
Lógica de Fallback:
Si la alerta no está vinculada directamente a una cláusula (ej. alerta general del proyecto), devuelve arrays vacíos en impacted_schedule y impacted_budget, no errores.
Entregable:
evidence_service.py.
Endpoint GET /alerts/{id}/context en el router de alertas.</t>
  </si>
  <si>
    <t>Esta actividad es pura Arquitectura de Software.
Estamos construyendo los cimientos para el futuro. Aunque ahora usemos NetworkX (memoria) para manejar el grafo de dependencias, sabemos que si el proyecto escala, necesitaremos una base de datos de grafos real como Neo4j o AWS Neptune. Para no tener que reescribir todo el backend cuando eso pase, crearemos una Capa de Abstracción (Interface). El resto de la aplicación solo hablará con GraphStore, sin saber qué hay debajo.
📝 Actividad: CE-S6-013
Nombre: Graph RAG Service Abstracción (GraphStore Interface) Dominio: Backend / Architecture Story Points: 2 Dependencias: CE-S5-005 (NetworkX Prototype) Prioridad: P1 (Scalability &amp; Maintenance)
🚀 Prompt Optimizado
Contexto: El frontend (React Flow) y el servicio de RAG necesitan consultar relaciones complejas ("¿Qué riesgos afectan a esta tarea?"). Actualmente, tenemos lógica de NetworkX dispersa. Vamos a centralizarla en apps/api/src/services/graph_store.py implementando el patrón de diseño Adapter/Repository. Esto nos permitirá cambiar de NetworkX a Neo4j en el futuro cambiando solo una línea de configuración.
Rol: Actúa como un Backend Architect obsesionado con el código limpio y los principios SOLID.
Tarea:
Definir la clase base abstracta GraphStore.
Implementar la versión concreta NetworkXGraphStore.
Implementar métodos de serialización para el frontend (formato compatible con React Flow).
Requisitos Técnicos:
La Interfaz (GraphStore(ABC)):
Debe definir métodos abstractos:
add_node(id, type, properties)
add_edge(source, target, type, properties)
get_neighbors(id, depth=1)
get_subgraph(node_ids) -&gt; Retorna un sub-grafo aislado.
search_nodes(property_filter)
La Implementación (NetworkXGraphStore):
Usa networkx.DiGraph() internamente.
Persistencia (Reto): Como NetworkX es en memoria, implementa métodos save_to_disk(path) y load_from_disk(path) usando pickle o gml para no perder el grafo al reiniciar el servidor (o regenerarlo desde la BD SQL al inicio).
Método para Frontend (to_react_flow_json):
Convierte el grafo interno a la estructura que necesita la UI:
JSON
{
  "nodes": [{ "id": "1", "type": "risk", "data": { "label": "..." }, "position": { "x": 0, "y": 0 } }],
  "edges": [{ "id": "e1-2", "source": "1", "target": "2", "animated": true }]
}
Nota: No calcules posiciones (x, y) aquí; de eso se encarga dagre en el frontend (S6-009). Envía x: 0, y: 0.
Testing con Mocks:
Crea un MockGraphStore que simule respuestas para usar en los tests unitarios de otros servicios sin levantar la maquinaria pesada.
Entregable:
graph_store.py con la clase base y la implementación NetworkX.
Tests unitarios básicos en tests/unit/test_graph_store.py.</t>
  </si>
  <si>
    <t>Esta actividad es el "Airbag" de tu aplicación.
Dependemos de APIs externas (Anthropic/OpenAI) que pueden caerse, ir lentas o lanzarnos un Rate Limit. Si Claude se cae, no queremos que nuestros usuarios se queden viendo un spinner infinito ni que nuestro servidor colapse reintentando mil veces. El patrón Circuit Breaker detecta fallos repetidos y "corta la corriente" temporalmente, devolviendo un error rápido o una respuesta en caché, permitiendo que el sistema externo se recupere.
📝 Actividad: CE-S6-014
Nombre: Circuit Breaker Claude API (Resilience Pattern) Dominio: Backend / Reliability Story Points: 1 Dependencias: CE-S2-004 (Infra/Redis), Setup de LLM Client Gate: Gate 7 (Operational Control)
🚀 Prompt Optimizado
Contexto: Las llamadas a LLMs son el punto más frágil del sistema (latencia alta, disponibilidad variable). Vamos a implementar apps/api/src/ai/circuit_breaker.py para envolver todas las llamadas a Anthropic o OpenAI. Usaremos Redis para mantener el estado del interruptor (compartido entre todos los workers de Celery/FastAPI).
Rol: Actúa como un Site Reliability Engineer (SRE) experto en Python y sistemas distribuidos.
Tarea:
Implementar la clase AICircuitBreaker.
Configurar la lógica de Retry con Exponential Backoff.
Implementar la lógica de corte (Open/Closed) y Fallback.
Requisitos Técnicos:
Librerías:
Usa tenacity para la lógica de reintentos (es el estándar en Python).
Usa redis-py para persistir el contador de errores.
Máquina de Estados (Redis):
CLOSED (Normal): El tráfico fluye. Si hay error, incrementa contador en Redis.
OPEN (Roto): Si errores &gt; 5 en 1 minuto, el estado pasa a OPEN. Todas las llamadas fallan inmediatamente (fail fast) sin llamar a la API externa.
HALF-OPEN (Prueba): Después de un reset_timeout (ej. 60s), permite pasar 1 petición de prueba. Si funciona -&gt; CLOSED. Si falla -&gt; OPEN otra vez.
Decorador @llm_guard:
Crea un decorador que envuelva las funciones de los agentes.
Retry: Reintenta 3 veces con espera exponencial (1s, 2s, 4s) antes de contar como "Fallo" para el Circuit Breaker.
Fallback: Si el circuito está abierto, devuelve un valor por defecto seguro (ej. None o un objeto AnalysisResult(status="DEGRADED")) en lugar de lanzar una excepción 500 al usuario.
Logging:
Cada vez que el circuito cambie de estado (Closed -&gt; Open), debe registrarse un log WARNING crítico para que el Dashboard de Observabilidad (S5-012) lo detecte.
Entregable:
circuit_breaker.py.
Ejemplo de uso en analysis_service.py.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</si>
</sst>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8"/>
      <color rgb="FF1E3A5F"/>
      <name val="Calibri"/>
      <family val="2"/>
    </font>
    <font>
      <i/>
      <sz val="10"/>
      <color rgb="FF666666"/>
      <name val="Calibri"/>
      <family val="2"/>
    </font>
    <font>
      <b/>
      <sz val="14"/>
      <name val="Calibri"/>
      <family val="2"/>
    </font>
    <font>
      <b/>
      <sz val="11"/>
      <name val="Calibri"/>
      <family val="2"/>
    </font>
    <font>
      <b/>
      <sz val="11"/>
      <color rgb="FFFFFFFF"/>
      <name val="Calibri"/>
      <family val="2"/>
    </font>
    <font>
      <b/>
      <sz val="14"/>
      <color rgb="FF1E3A5F"/>
      <name val="Calibri"/>
      <family val="2"/>
    </font>
    <font>
      <i/>
      <sz val="11"/>
      <name val="Calibri"/>
      <family val="2"/>
    </font>
    <font>
      <b/>
      <sz val="11"/>
      <color rgb="FFFF0000"/>
      <name val="Calibri"/>
      <family val="2"/>
      <scheme val="minor"/>
    </font>
  </fonts>
  <fills count="18">
    <fill>
      <patternFill patternType="none"/>
    </fill>
    <fill>
      <patternFill patternType="gray125"/>
    </fill>
    <fill>
      <patternFill patternType="solid">
        <fgColor rgb="FF1E3A5F"/>
        <bgColor rgb="FF1E3A5F"/>
      </patternFill>
    </fill>
    <fill>
      <patternFill patternType="solid">
        <fgColor rgb="FFE8F4F8"/>
        <bgColor rgb="FFE8F4F8"/>
      </patternFill>
    </fill>
    <fill>
      <patternFill patternType="solid">
        <fgColor rgb="FFFF6B6B"/>
        <bgColor rgb="FFFF6B6B"/>
      </patternFill>
    </fill>
    <fill>
      <patternFill patternType="solid">
        <fgColor rgb="FFFFE66D"/>
        <bgColor rgb="FFFFE66D"/>
      </patternFill>
    </fill>
    <fill>
      <patternFill patternType="solid">
        <fgColor rgb="FFF0E6F4"/>
        <bgColor rgb="FFF0E6F4"/>
      </patternFill>
    </fill>
    <fill>
      <patternFill patternType="solid">
        <fgColor rgb="FFE6F4E8"/>
        <bgColor rgb="FFE6F4E8"/>
      </patternFill>
    </fill>
    <fill>
      <patternFill patternType="solid">
        <fgColor rgb="FFFFF4E6"/>
        <bgColor rgb="FFFFF4E6"/>
      </patternFill>
    </fill>
    <fill>
      <patternFill patternType="solid">
        <fgColor rgb="FF4ECDC4"/>
        <bgColor rgb="FF4ECDC4"/>
      </patternFill>
    </fill>
    <fill>
      <patternFill patternType="solid">
        <fgColor rgb="FFE6F0F4"/>
        <bgColor rgb="FFE6F0F4"/>
      </patternFill>
    </fill>
    <fill>
      <patternFill patternType="solid">
        <fgColor rgb="FF00B050"/>
        <bgColor rgb="FFE8F4F8"/>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0000"/>
        <bgColor rgb="FFE6F4E8"/>
      </patternFill>
    </fill>
    <fill>
      <patternFill patternType="solid">
        <fgColor rgb="FFFF0000"/>
        <bgColor rgb="FFF0E6F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41">
    <xf numFmtId="0" fontId="0" fillId="0" borderId="0" xfId="0"/>
    <xf numFmtId="0" fontId="2" fillId="0" borderId="0" xfId="0" applyFont="1"/>
    <xf numFmtId="0" fontId="3" fillId="0" borderId="0" xfId="0" applyFont="1"/>
    <xf numFmtId="0" fontId="4" fillId="0" borderId="0" xfId="0" applyFont="1"/>
    <xf numFmtId="0" fontId="0" fillId="0" borderId="0" xfId="0" applyAlignment="1">
      <alignment horizontal="center"/>
    </xf>
    <xf numFmtId="0" fontId="5" fillId="2" borderId="0" xfId="0" applyFont="1" applyFill="1" applyAlignment="1">
      <alignment horizontal="center"/>
    </xf>
    <xf numFmtId="0" fontId="0" fillId="0" borderId="1" xfId="0" applyBorder="1" applyAlignment="1">
      <alignment horizontal="center"/>
    </xf>
    <xf numFmtId="0" fontId="5" fillId="2" borderId="0" xfId="0" applyFont="1" applyFill="1"/>
    <xf numFmtId="0" fontId="0" fillId="0" borderId="1" xfId="0" applyBorder="1"/>
    <xf numFmtId="0" fontId="5" fillId="2" borderId="1" xfId="0" applyFont="1" applyFill="1" applyBorder="1" applyAlignment="1">
      <alignment horizontal="center" wrapText="1"/>
    </xf>
    <xf numFmtId="0" fontId="0" fillId="3" borderId="1" xfId="0" applyFill="1" applyBorder="1" applyAlignment="1">
      <alignment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8" borderId="1" xfId="0" applyFill="1" applyBorder="1" applyAlignment="1">
      <alignment vertical="center" wrapText="1"/>
    </xf>
    <xf numFmtId="0" fontId="0" fillId="9" borderId="1" xfId="0" applyFill="1" applyBorder="1" applyAlignment="1">
      <alignment vertical="center" wrapText="1"/>
    </xf>
    <xf numFmtId="0" fontId="0" fillId="10" borderId="1" xfId="0" applyFill="1" applyBorder="1" applyAlignment="1">
      <alignment vertical="center" wrapText="1"/>
    </xf>
    <xf numFmtId="0" fontId="7" fillId="0" borderId="0" xfId="0" applyFont="1"/>
    <xf numFmtId="0" fontId="5" fillId="2" borderId="1" xfId="0" applyFont="1" applyFill="1" applyBorder="1"/>
    <xf numFmtId="0" fontId="0" fillId="4" borderId="1" xfId="0" applyFill="1" applyBorder="1"/>
    <xf numFmtId="0" fontId="0" fillId="5" borderId="1" xfId="0" applyFill="1" applyBorder="1"/>
    <xf numFmtId="0" fontId="0" fillId="3" borderId="2" xfId="0" applyFill="1" applyBorder="1" applyAlignment="1">
      <alignment vertical="center" wrapText="1"/>
    </xf>
    <xf numFmtId="0" fontId="0" fillId="3" borderId="3" xfId="0" applyFill="1" applyBorder="1" applyAlignment="1">
      <alignment vertical="center" wrapText="1"/>
    </xf>
    <xf numFmtId="0" fontId="0" fillId="0" borderId="0" xfId="0" applyAlignment="1">
      <alignment wrapText="1"/>
    </xf>
    <xf numFmtId="0" fontId="5" fillId="2" borderId="3" xfId="0" applyFont="1" applyFill="1" applyBorder="1" applyAlignment="1">
      <alignment horizontal="center" wrapText="1"/>
    </xf>
    <xf numFmtId="0" fontId="0" fillId="11" borderId="3" xfId="0" applyFill="1" applyBorder="1" applyAlignment="1">
      <alignment vertical="center" wrapText="1"/>
    </xf>
    <xf numFmtId="0" fontId="0" fillId="12" borderId="0" xfId="0" applyFill="1" applyAlignment="1">
      <alignment wrapText="1"/>
    </xf>
    <xf numFmtId="0" fontId="0" fillId="13" borderId="0" xfId="0" applyFill="1" applyAlignment="1">
      <alignment wrapText="1"/>
    </xf>
    <xf numFmtId="0" fontId="0" fillId="14" borderId="0" xfId="0" applyFill="1" applyAlignment="1">
      <alignment wrapText="1"/>
    </xf>
    <xf numFmtId="0" fontId="0" fillId="15" borderId="0" xfId="0" applyFill="1" applyAlignment="1">
      <alignment wrapText="1"/>
    </xf>
    <xf numFmtId="0" fontId="0" fillId="16" borderId="1" xfId="0" applyFill="1" applyBorder="1" applyAlignment="1">
      <alignment vertical="center" wrapText="1"/>
    </xf>
    <xf numFmtId="0" fontId="0" fillId="6" borderId="2" xfId="0" applyFill="1" applyBorder="1" applyAlignment="1">
      <alignment vertical="center" wrapText="1"/>
    </xf>
    <xf numFmtId="0" fontId="0" fillId="17" borderId="1" xfId="0" applyFill="1" applyBorder="1" applyAlignment="1">
      <alignment vertical="center" wrapText="1"/>
    </xf>
    <xf numFmtId="0" fontId="0" fillId="6" borderId="3" xfId="0" applyFill="1" applyBorder="1" applyAlignment="1">
      <alignment vertical="center" wrapText="1"/>
    </xf>
    <xf numFmtId="0" fontId="0" fillId="6" borderId="0" xfId="0" applyFill="1" applyAlignment="1">
      <alignment vertical="center" wrapText="1"/>
    </xf>
    <xf numFmtId="0" fontId="0" fillId="7" borderId="2" xfId="0" applyFill="1" applyBorder="1" applyAlignment="1">
      <alignment vertical="center" wrapText="1"/>
    </xf>
    <xf numFmtId="0" fontId="1" fillId="0" borderId="0" xfId="0" applyFont="1"/>
    <xf numFmtId="0" fontId="0" fillId="0" borderId="0" xfId="0"/>
    <xf numFmtId="0" fontId="6" fillId="0" borderId="0" xfId="0" applyFont="1"/>
    <xf numFmtId="0" fontId="8" fillId="14" borderId="0" xfId="0" applyFont="1" applyFill="1" applyAlignment="1">
      <alignment wrapText="1"/>
    </xf>
  </cellXfs>
  <cellStyles count="1">
    <cellStyle name="Normal" xfId="0" builtinId="0"/>
  </cellStyles>
  <dxfs count="0"/>
  <tableStyles count="1" defaultTableStyle="TableStyleMedium9" defaultPivotStyle="PivotStyleLight16">
    <tableStyle name="Invisible" pivot="0" table="0" count="0" xr9:uid="{DA23F336-F957-4D37-89FC-1250C76D7B7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topLeftCell="A15" workbookViewId="0">
      <selection sqref="A1:G1"/>
    </sheetView>
  </sheetViews>
  <sheetFormatPr baseColWidth="10" defaultColWidth="8.88671875" defaultRowHeight="14.4" x14ac:dyDescent="0.3"/>
  <cols>
    <col min="1" max="1" width="25" customWidth="1"/>
    <col min="2" max="2" width="20" customWidth="1"/>
    <col min="3" max="3" width="15" customWidth="1"/>
    <col min="4" max="4" width="25" customWidth="1"/>
  </cols>
  <sheetData>
    <row r="1" spans="1:7" ht="23.4" x14ac:dyDescent="0.45">
      <c r="A1" s="37" t="s">
        <v>0</v>
      </c>
      <c r="B1" s="38"/>
      <c r="C1" s="38"/>
      <c r="D1" s="38"/>
      <c r="E1" s="38"/>
      <c r="F1" s="38"/>
      <c r="G1" s="38"/>
    </row>
    <row r="2" spans="1:7" x14ac:dyDescent="0.3">
      <c r="A2" s="1" t="s">
        <v>1</v>
      </c>
    </row>
    <row r="4" spans="1:7" ht="18" x14ac:dyDescent="0.35">
      <c r="A4" s="2" t="s">
        <v>2</v>
      </c>
    </row>
    <row r="5" spans="1:7" x14ac:dyDescent="0.3">
      <c r="A5" s="3" t="s">
        <v>3</v>
      </c>
      <c r="B5" s="4">
        <v>116</v>
      </c>
    </row>
    <row r="6" spans="1:7" x14ac:dyDescent="0.3">
      <c r="A6" s="3" t="s">
        <v>4</v>
      </c>
      <c r="B6" s="4">
        <v>267</v>
      </c>
    </row>
    <row r="7" spans="1:7" x14ac:dyDescent="0.3">
      <c r="A7" s="3" t="s">
        <v>5</v>
      </c>
      <c r="B7" s="4">
        <v>86</v>
      </c>
    </row>
    <row r="8" spans="1:7" x14ac:dyDescent="0.3">
      <c r="A8" s="3" t="s">
        <v>6</v>
      </c>
      <c r="B8" s="4">
        <v>28</v>
      </c>
    </row>
    <row r="9" spans="1:7" x14ac:dyDescent="0.3">
      <c r="A9" s="3" t="s">
        <v>7</v>
      </c>
      <c r="B9" s="4">
        <v>2</v>
      </c>
    </row>
    <row r="10" spans="1:7" x14ac:dyDescent="0.3">
      <c r="A10" s="3" t="s">
        <v>8</v>
      </c>
      <c r="B10" s="4">
        <v>5</v>
      </c>
    </row>
    <row r="11" spans="1:7" x14ac:dyDescent="0.3">
      <c r="A11" s="3" t="s">
        <v>9</v>
      </c>
      <c r="B11" s="4">
        <v>9</v>
      </c>
    </row>
    <row r="12" spans="1:7" x14ac:dyDescent="0.3">
      <c r="A12" s="3" t="s">
        <v>10</v>
      </c>
      <c r="B12" s="4">
        <v>6</v>
      </c>
    </row>
    <row r="15" spans="1:7" ht="18" x14ac:dyDescent="0.35">
      <c r="A15" s="2" t="s">
        <v>11</v>
      </c>
    </row>
    <row r="16" spans="1:7" x14ac:dyDescent="0.3">
      <c r="A16" s="5" t="s">
        <v>12</v>
      </c>
      <c r="B16" s="5" t="s">
        <v>13</v>
      </c>
      <c r="C16" s="5" t="s">
        <v>14</v>
      </c>
      <c r="D16" s="5" t="s">
        <v>15</v>
      </c>
      <c r="E16" s="5" t="s">
        <v>16</v>
      </c>
      <c r="F16" s="5" t="s">
        <v>17</v>
      </c>
    </row>
    <row r="17" spans="1:6" x14ac:dyDescent="0.3">
      <c r="A17" s="6" t="s">
        <v>18</v>
      </c>
      <c r="B17" s="6">
        <v>16</v>
      </c>
      <c r="C17" s="6">
        <v>32</v>
      </c>
      <c r="D17" s="6">
        <v>14</v>
      </c>
      <c r="E17" s="6">
        <v>2</v>
      </c>
      <c r="F17" s="6">
        <v>0</v>
      </c>
    </row>
    <row r="18" spans="1:6" x14ac:dyDescent="0.3">
      <c r="A18" s="6" t="s">
        <v>19</v>
      </c>
      <c r="B18" s="6">
        <v>27</v>
      </c>
      <c r="C18" s="6">
        <v>72</v>
      </c>
      <c r="D18" s="6">
        <v>25</v>
      </c>
      <c r="E18" s="6">
        <v>2</v>
      </c>
      <c r="F18" s="6">
        <v>0</v>
      </c>
    </row>
    <row r="19" spans="1:6" x14ac:dyDescent="0.3">
      <c r="A19" s="6" t="s">
        <v>20</v>
      </c>
      <c r="B19" s="6">
        <v>30</v>
      </c>
      <c r="C19" s="6">
        <v>75</v>
      </c>
      <c r="D19" s="6">
        <v>26</v>
      </c>
      <c r="E19" s="6">
        <v>4</v>
      </c>
      <c r="F19" s="6">
        <v>0</v>
      </c>
    </row>
    <row r="20" spans="1:6" x14ac:dyDescent="0.3">
      <c r="A20" s="6" t="s">
        <v>21</v>
      </c>
      <c r="B20" s="6">
        <v>27</v>
      </c>
      <c r="C20" s="6">
        <v>52</v>
      </c>
      <c r="D20" s="6">
        <v>11</v>
      </c>
      <c r="E20" s="6">
        <v>15</v>
      </c>
      <c r="F20" s="6">
        <v>1</v>
      </c>
    </row>
    <row r="21" spans="1:6" x14ac:dyDescent="0.3">
      <c r="A21" s="6" t="s">
        <v>22</v>
      </c>
      <c r="B21" s="6">
        <v>16</v>
      </c>
      <c r="C21" s="6">
        <v>36</v>
      </c>
      <c r="D21" s="6">
        <v>10</v>
      </c>
      <c r="E21" s="6">
        <v>5</v>
      </c>
      <c r="F21" s="6">
        <v>1</v>
      </c>
    </row>
    <row r="25" spans="1:6" ht="18" x14ac:dyDescent="0.35">
      <c r="A25" s="2" t="s">
        <v>23</v>
      </c>
    </row>
    <row r="26" spans="1:6" x14ac:dyDescent="0.3">
      <c r="A26" s="7" t="s">
        <v>24</v>
      </c>
      <c r="B26" s="7" t="s">
        <v>25</v>
      </c>
      <c r="C26" s="7" t="s">
        <v>26</v>
      </c>
      <c r="D26" s="7" t="s">
        <v>27</v>
      </c>
    </row>
    <row r="27" spans="1:6" x14ac:dyDescent="0.3">
      <c r="A27" s="8" t="s">
        <v>28</v>
      </c>
      <c r="B27" s="8" t="s">
        <v>29</v>
      </c>
      <c r="C27" s="8" t="s">
        <v>30</v>
      </c>
      <c r="D27" s="8" t="s">
        <v>31</v>
      </c>
    </row>
    <row r="28" spans="1:6" x14ac:dyDescent="0.3">
      <c r="A28" s="8" t="s">
        <v>32</v>
      </c>
      <c r="B28" s="8" t="s">
        <v>33</v>
      </c>
      <c r="C28" s="8" t="s">
        <v>30</v>
      </c>
      <c r="D28" s="8" t="s">
        <v>34</v>
      </c>
    </row>
    <row r="29" spans="1:6" x14ac:dyDescent="0.3">
      <c r="A29" s="8" t="s">
        <v>35</v>
      </c>
      <c r="B29" s="8" t="s">
        <v>36</v>
      </c>
      <c r="C29" s="8" t="s">
        <v>30</v>
      </c>
      <c r="D29" s="8" t="s">
        <v>37</v>
      </c>
    </row>
    <row r="30" spans="1:6" x14ac:dyDescent="0.3">
      <c r="A30" s="8" t="s">
        <v>38</v>
      </c>
      <c r="B30" s="8" t="s">
        <v>39</v>
      </c>
      <c r="C30" s="8" t="s">
        <v>30</v>
      </c>
      <c r="D30" s="8" t="s">
        <v>40</v>
      </c>
    </row>
    <row r="31" spans="1:6" x14ac:dyDescent="0.3">
      <c r="A31" s="8" t="s">
        <v>41</v>
      </c>
      <c r="B31" s="8" t="s">
        <v>42</v>
      </c>
      <c r="C31" s="8" t="s">
        <v>43</v>
      </c>
      <c r="D31" s="8" t="s">
        <v>44</v>
      </c>
    </row>
    <row r="32" spans="1:6" x14ac:dyDescent="0.3">
      <c r="A32" s="8" t="s">
        <v>45</v>
      </c>
      <c r="B32" s="8" t="s">
        <v>46</v>
      </c>
      <c r="C32" s="8" t="s">
        <v>43</v>
      </c>
      <c r="D32" s="8" t="s">
        <v>47</v>
      </c>
    </row>
    <row r="33" spans="1:4" x14ac:dyDescent="0.3">
      <c r="A33" s="8" t="s">
        <v>48</v>
      </c>
      <c r="B33" s="8" t="s">
        <v>49</v>
      </c>
      <c r="C33" s="8" t="s">
        <v>43</v>
      </c>
      <c r="D33" s="8" t="s">
        <v>50</v>
      </c>
    </row>
    <row r="34" spans="1:4" x14ac:dyDescent="0.3">
      <c r="A34" s="8" t="s">
        <v>51</v>
      </c>
      <c r="B34" s="8" t="s">
        <v>52</v>
      </c>
      <c r="C34" s="8" t="s">
        <v>43</v>
      </c>
      <c r="D34" s="8" t="s">
        <v>53</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40"/>
  <sheetViews>
    <sheetView tabSelected="1" topLeftCell="O1" zoomScale="55" zoomScaleNormal="55" workbookViewId="0">
      <pane ySplit="1" topLeftCell="A76" activePane="bottomLeft" state="frozen"/>
      <selection pane="bottomLeft" activeCell="S76" sqref="S76"/>
    </sheetView>
  </sheetViews>
  <sheetFormatPr baseColWidth="10" defaultColWidth="8.88671875" defaultRowHeight="14.4" x14ac:dyDescent="0.3"/>
  <cols>
    <col min="1" max="1" width="15" customWidth="1"/>
    <col min="2" max="2" width="45" customWidth="1"/>
    <col min="3" max="4" width="12" hidden="1" customWidth="1"/>
    <col min="5" max="6" width="14" hidden="1" customWidth="1"/>
    <col min="7" max="7" width="12" hidden="1" customWidth="1"/>
    <col min="8" max="8" width="10" customWidth="1"/>
    <col min="9" max="9" width="12" customWidth="1"/>
    <col min="10" max="10" width="15" customWidth="1"/>
    <col min="11" max="11" width="12" customWidth="1"/>
    <col min="12" max="12" width="25" customWidth="1"/>
    <col min="13" max="13" width="15" customWidth="1"/>
    <col min="14" max="14" width="50" customWidth="1"/>
    <col min="15" max="15" width="10" customWidth="1"/>
    <col min="16" max="16" width="40" customWidth="1"/>
    <col min="17" max="17" width="12" hidden="1" customWidth="1"/>
    <col min="18" max="18" width="29.109375" customWidth="1"/>
    <col min="19" max="19" width="32.88671875" customWidth="1"/>
    <col min="20" max="20" width="33.6640625" customWidth="1"/>
    <col min="21" max="22" width="22.6640625" customWidth="1"/>
  </cols>
  <sheetData>
    <row r="1" spans="1:23" ht="28.8" x14ac:dyDescent="0.3">
      <c r="A1" s="9" t="s">
        <v>54</v>
      </c>
      <c r="B1" s="9" t="s">
        <v>55</v>
      </c>
      <c r="C1" s="9" t="s">
        <v>12</v>
      </c>
      <c r="D1" s="9" t="s">
        <v>56</v>
      </c>
      <c r="E1" s="9" t="s">
        <v>57</v>
      </c>
      <c r="F1" s="9" t="s">
        <v>58</v>
      </c>
      <c r="G1" s="9" t="s">
        <v>59</v>
      </c>
      <c r="H1" s="9" t="s">
        <v>60</v>
      </c>
      <c r="I1" s="9" t="s">
        <v>26</v>
      </c>
      <c r="J1" s="9" t="s">
        <v>61</v>
      </c>
      <c r="K1" s="9" t="s">
        <v>62</v>
      </c>
      <c r="L1" s="9" t="s">
        <v>63</v>
      </c>
      <c r="M1" s="9" t="s">
        <v>64</v>
      </c>
      <c r="N1" s="9" t="s">
        <v>65</v>
      </c>
      <c r="O1" s="9" t="s">
        <v>66</v>
      </c>
      <c r="P1" s="9" t="s">
        <v>67</v>
      </c>
      <c r="Q1" s="9" t="s">
        <v>68</v>
      </c>
      <c r="S1" s="25" t="s">
        <v>684</v>
      </c>
      <c r="V1" t="str">
        <f>A1 &amp; " " &amp; B1 &amp; " " &amp; C1 &amp; " " &amp; D1 &amp; " " &amp; E1 &amp; " " &amp; F1 &amp; " " &amp; G1 &amp; " " &amp; H1 &amp; " " &amp; I1 &amp; " " &amp; J1 &amp; " " &amp; K1 &amp; " " &amp; L1 &amp; " " &amp; M1 &amp; " " &amp; N1 &amp; " " &amp; O1 &amp; " " &amp; P1</f>
        <v>ID Nombre Sprint Semana Fecha_Inicio Fecha_Fin Duracion_Dias Prioridad Estado Dominio CTO_Gate Dependencias Asignado Criterio_Aceptacion Riesgo Entregable</v>
      </c>
      <c r="W1" t="s">
        <v>707</v>
      </c>
    </row>
    <row r="2" spans="1:23" ht="172.8" x14ac:dyDescent="0.3">
      <c r="A2" s="10" t="s">
        <v>69</v>
      </c>
      <c r="B2" s="10" t="s">
        <v>70</v>
      </c>
      <c r="C2" s="10" t="s">
        <v>18</v>
      </c>
      <c r="D2" s="10" t="s">
        <v>71</v>
      </c>
      <c r="E2" s="10" t="s">
        <v>72</v>
      </c>
      <c r="F2" s="10" t="s">
        <v>73</v>
      </c>
      <c r="G2" s="10">
        <v>2</v>
      </c>
      <c r="H2" s="11" t="s">
        <v>15</v>
      </c>
      <c r="I2" s="10" t="s">
        <v>676</v>
      </c>
      <c r="J2" s="10" t="s">
        <v>75</v>
      </c>
      <c r="K2" s="10" t="s">
        <v>41</v>
      </c>
      <c r="L2" s="10" t="s">
        <v>76</v>
      </c>
      <c r="M2" s="10" t="s">
        <v>77</v>
      </c>
      <c r="N2" s="10" t="s">
        <v>78</v>
      </c>
      <c r="O2" s="10" t="s">
        <v>79</v>
      </c>
      <c r="P2" s="10" t="s">
        <v>80</v>
      </c>
      <c r="Q2" s="10">
        <v>3</v>
      </c>
      <c r="R2" s="22" t="s">
        <v>677</v>
      </c>
      <c r="S2" s="30" t="s">
        <v>817</v>
      </c>
      <c r="V2" t="str">
        <f>A2 &amp; " " &amp; B2 &amp; " " &amp; C2 &amp; " " &amp; D2 &amp; " " &amp; E2 &amp; " " &amp; F2 &amp; " " &amp; G2 &amp; " " &amp; H2 &amp; " " &amp; I2 &amp; " " &amp; J2 &amp; " " &amp; K2 &amp; " " &amp; L2 &amp; " " &amp; M2 &amp; " " &amp; N2 &amp; " " &amp; O2 &amp; " " &amp; P2</f>
        <v>CE-S2-001 Schemas Pydantic Documents Module Sprint 2 Semana 2 2026-01-09 2026-01-10 2 P0 done Backend Gate 5 Ninguna Backend Lead Request/Response DTOs con clause_id y OpenAPI spec generada Bajo apps/api/src/modules/documents/schemas.py</v>
      </c>
      <c r="W2" t="s">
        <v>708</v>
      </c>
    </row>
    <row r="3" spans="1:23" ht="259.2" x14ac:dyDescent="0.3">
      <c r="A3" s="10" t="s">
        <v>81</v>
      </c>
      <c r="B3" s="10" t="s">
        <v>82</v>
      </c>
      <c r="C3" s="10" t="s">
        <v>18</v>
      </c>
      <c r="D3" s="10" t="s">
        <v>71</v>
      </c>
      <c r="E3" s="10" t="s">
        <v>72</v>
      </c>
      <c r="F3" s="10" t="s">
        <v>73</v>
      </c>
      <c r="G3" s="10">
        <v>2</v>
      </c>
      <c r="H3" s="11" t="s">
        <v>15</v>
      </c>
      <c r="I3" s="10" t="s">
        <v>676</v>
      </c>
      <c r="J3" s="10" t="s">
        <v>75</v>
      </c>
      <c r="K3" s="10" t="s">
        <v>41</v>
      </c>
      <c r="L3" s="10" t="s">
        <v>76</v>
      </c>
      <c r="M3" s="10" t="s">
        <v>77</v>
      </c>
      <c r="N3" s="10" t="s">
        <v>83</v>
      </c>
      <c r="O3" s="10" t="s">
        <v>79</v>
      </c>
      <c r="P3" s="10" t="s">
        <v>84</v>
      </c>
      <c r="Q3" s="10">
        <v>3</v>
      </c>
      <c r="R3" s="22" t="s">
        <v>677</v>
      </c>
      <c r="S3" s="30" t="s">
        <v>814</v>
      </c>
      <c r="V3" t="str">
        <f t="shared" ref="V3:V83" si="0">A3 &amp; " " &amp; B3 &amp; " " &amp; C3 &amp; " " &amp; D3 &amp; " " &amp; E3 &amp; " " &amp; F3 &amp; " " &amp; G3 &amp; " " &amp; H3 &amp; " " &amp; I3 &amp; " " &amp; J3 &amp; " " &amp; K3 &amp; " " &amp; L3 &amp; " " &amp; M3 &amp; " " &amp; N3 &amp; " " &amp; O3 &amp; " " &amp; P3</f>
        <v>CE-S2-002 Schemas Pydantic Analysis Module Sprint 2 Semana 2 2026-01-09 2026-01-10 2 P0 done Backend Gate 5 Ninguna Backend Lead DTOs Alert/Analysis con evidence_json y validaciones Pydantic v2 Bajo apps/api/src/modules/analysis/schemas.py</v>
      </c>
      <c r="W3" t="s">
        <v>709</v>
      </c>
    </row>
    <row r="4" spans="1:23" ht="28.8" x14ac:dyDescent="0.3">
      <c r="A4" s="10" t="s">
        <v>85</v>
      </c>
      <c r="B4" s="10" t="s">
        <v>86</v>
      </c>
      <c r="C4" s="10" t="s">
        <v>18</v>
      </c>
      <c r="D4" s="10" t="s">
        <v>71</v>
      </c>
      <c r="E4" s="10" t="s">
        <v>87</v>
      </c>
      <c r="F4" s="10" t="s">
        <v>87</v>
      </c>
      <c r="G4" s="10">
        <v>1</v>
      </c>
      <c r="H4" s="11" t="s">
        <v>15</v>
      </c>
      <c r="I4" s="10" t="s">
        <v>676</v>
      </c>
      <c r="J4" s="10" t="s">
        <v>75</v>
      </c>
      <c r="K4" s="10" t="s">
        <v>41</v>
      </c>
      <c r="L4" s="10" t="s">
        <v>69</v>
      </c>
      <c r="M4" s="10" t="s">
        <v>77</v>
      </c>
      <c r="N4" s="10" t="s">
        <v>88</v>
      </c>
      <c r="O4" s="10" t="s">
        <v>79</v>
      </c>
      <c r="P4" s="10" t="s">
        <v>89</v>
      </c>
      <c r="Q4" s="10">
        <v>2</v>
      </c>
      <c r="R4" s="22" t="s">
        <v>677</v>
      </c>
      <c r="V4" t="str">
        <f t="shared" si="0"/>
        <v>CE-S2-003 Schemas Pydantic Stakeholders Module Sprint 2 Semana 2 2026-01-11 2026-01-11 1 P0 done Backend Gate 5 CE-S2-001 Backend Lead DTOs Stakeholder/WBS/BOM/RACI con clause_id FK Bajo apps/api/src/modules/stakeholders/schemas.py</v>
      </c>
      <c r="W4" t="s">
        <v>710</v>
      </c>
    </row>
    <row r="5" spans="1:23" ht="28.8" x14ac:dyDescent="0.3">
      <c r="A5" s="10" t="s">
        <v>90</v>
      </c>
      <c r="B5" s="10" t="s">
        <v>91</v>
      </c>
      <c r="C5" s="10" t="s">
        <v>18</v>
      </c>
      <c r="D5" s="10" t="s">
        <v>71</v>
      </c>
      <c r="E5" s="10" t="s">
        <v>72</v>
      </c>
      <c r="F5" s="10" t="s">
        <v>72</v>
      </c>
      <c r="G5" s="10">
        <v>1</v>
      </c>
      <c r="H5" s="11" t="s">
        <v>15</v>
      </c>
      <c r="I5" s="10" t="s">
        <v>676</v>
      </c>
      <c r="J5" s="10" t="s">
        <v>92</v>
      </c>
      <c r="K5" s="10" t="s">
        <v>48</v>
      </c>
      <c r="L5" s="10" t="s">
        <v>76</v>
      </c>
      <c r="M5" s="10" t="s">
        <v>93</v>
      </c>
      <c r="N5" s="10" t="s">
        <v>94</v>
      </c>
      <c r="O5" s="10" t="s">
        <v>95</v>
      </c>
      <c r="P5" s="10" t="s">
        <v>96</v>
      </c>
      <c r="Q5" s="10">
        <v>2</v>
      </c>
      <c r="R5" s="23" t="s">
        <v>678</v>
      </c>
      <c r="V5" t="str">
        <f t="shared" si="0"/>
        <v>CE-S2-004 Implementar Redis/Upstash Cache Sprint 2 Semana 2 2026-01-09 2026-01-09 1 P0 done Infrastructure Gate 7 Ninguna DevOps Cache extracciones por hash documento TTL 24h hit ratio &gt;80% Medio apps/api/src/core/cache.py</v>
      </c>
      <c r="W5" t="s">
        <v>711</v>
      </c>
    </row>
    <row r="6" spans="1:23" x14ac:dyDescent="0.3">
      <c r="A6" s="10" t="s">
        <v>97</v>
      </c>
      <c r="B6" s="10" t="s">
        <v>98</v>
      </c>
      <c r="C6" s="10" t="s">
        <v>18</v>
      </c>
      <c r="D6" s="10" t="s">
        <v>71</v>
      </c>
      <c r="E6" s="10" t="s">
        <v>73</v>
      </c>
      <c r="F6" s="10" t="s">
        <v>73</v>
      </c>
      <c r="G6" s="10">
        <v>1</v>
      </c>
      <c r="H6" s="11" t="s">
        <v>15</v>
      </c>
      <c r="I6" s="10" t="s">
        <v>676</v>
      </c>
      <c r="J6" s="10" t="s">
        <v>99</v>
      </c>
      <c r="K6" s="10" t="s">
        <v>48</v>
      </c>
      <c r="L6" s="10" t="s">
        <v>76</v>
      </c>
      <c r="M6" s="10" t="s">
        <v>100</v>
      </c>
      <c r="N6" s="10" t="s">
        <v>101</v>
      </c>
      <c r="O6" s="10" t="s">
        <v>79</v>
      </c>
      <c r="P6" s="10" t="s">
        <v>102</v>
      </c>
      <c r="Q6" s="10">
        <v>2</v>
      </c>
      <c r="R6" s="23" t="s">
        <v>681</v>
      </c>
      <c r="V6" t="str">
        <f t="shared" si="0"/>
        <v>CE-S2-005 Model Routing Dinámico Config Sprint 2 Semana 2 2026-01-10 2026-01-10 1 P0 done AI Gate 7 Ninguna AI Lead Config YAML routing Sonnet/Haiku por operación Bajo apps/api/src/ai/model_routing.yaml</v>
      </c>
      <c r="W6" t="s">
        <v>712</v>
      </c>
    </row>
    <row r="7" spans="1:23" x14ac:dyDescent="0.3">
      <c r="A7" s="10" t="s">
        <v>103</v>
      </c>
      <c r="B7" s="10" t="s">
        <v>104</v>
      </c>
      <c r="C7" s="10" t="s">
        <v>18</v>
      </c>
      <c r="D7" s="10" t="s">
        <v>71</v>
      </c>
      <c r="E7" s="10" t="s">
        <v>87</v>
      </c>
      <c r="F7" s="10" t="s">
        <v>87</v>
      </c>
      <c r="G7" s="10">
        <v>1</v>
      </c>
      <c r="H7" s="12" t="s">
        <v>16</v>
      </c>
      <c r="I7" s="10" t="s">
        <v>676</v>
      </c>
      <c r="J7" s="10" t="s">
        <v>99</v>
      </c>
      <c r="K7" s="10" t="s">
        <v>48</v>
      </c>
      <c r="L7" s="10" t="s">
        <v>90</v>
      </c>
      <c r="M7" s="10" t="s">
        <v>100</v>
      </c>
      <c r="N7" s="10" t="s">
        <v>105</v>
      </c>
      <c r="O7" s="10" t="s">
        <v>79</v>
      </c>
      <c r="P7" s="10" t="s">
        <v>106</v>
      </c>
      <c r="Q7" s="10">
        <v>2</v>
      </c>
      <c r="R7" s="23" t="s">
        <v>681</v>
      </c>
      <c r="V7" t="str">
        <f t="shared" si="0"/>
        <v>CE-S2-006 Caché de Prompts Idénticos Sprint 2 Semana 2 2026-01-11 2026-01-11 1 P1 done AI Gate 7 CE-S2-004 AI Lead Hash SHA-256 input resultado cacheado 24h Bajo apps/api/src/ai/prompt_cache.py</v>
      </c>
      <c r="W7" t="s">
        <v>713</v>
      </c>
    </row>
    <row r="8" spans="1:23" x14ac:dyDescent="0.3">
      <c r="A8" s="10" t="s">
        <v>107</v>
      </c>
      <c r="B8" s="10" t="s">
        <v>108</v>
      </c>
      <c r="C8" s="10" t="s">
        <v>18</v>
      </c>
      <c r="D8" s="10" t="s">
        <v>71</v>
      </c>
      <c r="E8" s="10" t="s">
        <v>87</v>
      </c>
      <c r="F8" s="10" t="s">
        <v>87</v>
      </c>
      <c r="G8" s="10">
        <v>1</v>
      </c>
      <c r="H8" s="11" t="s">
        <v>15</v>
      </c>
      <c r="I8" s="10" t="s">
        <v>676</v>
      </c>
      <c r="J8" s="10" t="s">
        <v>99</v>
      </c>
      <c r="K8" s="10" t="s">
        <v>48</v>
      </c>
      <c r="L8" s="10" t="s">
        <v>76</v>
      </c>
      <c r="M8" s="10" t="s">
        <v>100</v>
      </c>
      <c r="N8" s="10" t="s">
        <v>109</v>
      </c>
      <c r="O8" s="10" t="s">
        <v>95</v>
      </c>
      <c r="P8" s="10" t="s">
        <v>110</v>
      </c>
      <c r="Q8" s="10">
        <v>2</v>
      </c>
      <c r="R8" s="23" t="s">
        <v>681</v>
      </c>
      <c r="V8" t="str">
        <f t="shared" si="0"/>
        <v>CE-S2-007 LLM Client Wrapper Anthropic Sprint 2 Semana 2 2026-01-11 2026-01-11 1 P0 done AI Gate 7 Ninguna AI Lead SDK retry exponential backoff logging cost tracking Medio apps/api/src/ai/llm_client.py</v>
      </c>
      <c r="W8" t="s">
        <v>714</v>
      </c>
    </row>
    <row r="9" spans="1:23" ht="180" customHeight="1" x14ac:dyDescent="0.3">
      <c r="A9" s="10" t="s">
        <v>111</v>
      </c>
      <c r="B9" s="10" t="s">
        <v>112</v>
      </c>
      <c r="C9" s="10" t="s">
        <v>18</v>
      </c>
      <c r="D9" s="10" t="s">
        <v>71</v>
      </c>
      <c r="E9" s="10" t="s">
        <v>73</v>
      </c>
      <c r="F9" s="10" t="s">
        <v>73</v>
      </c>
      <c r="G9" s="10">
        <v>1</v>
      </c>
      <c r="H9" s="11" t="s">
        <v>15</v>
      </c>
      <c r="I9" s="10" t="s">
        <v>676</v>
      </c>
      <c r="J9" s="10" t="s">
        <v>99</v>
      </c>
      <c r="K9" s="10" t="s">
        <v>41</v>
      </c>
      <c r="L9" s="10" t="s">
        <v>76</v>
      </c>
      <c r="M9" s="10" t="s">
        <v>100</v>
      </c>
      <c r="N9" s="10" t="s">
        <v>113</v>
      </c>
      <c r="O9" s="10" t="s">
        <v>79</v>
      </c>
      <c r="P9" s="10" t="s">
        <v>682</v>
      </c>
      <c r="Q9" s="10">
        <v>2</v>
      </c>
      <c r="R9" s="23" t="s">
        <v>681</v>
      </c>
      <c r="S9" s="10" t="s">
        <v>682</v>
      </c>
      <c r="V9" t="str">
        <f t="shared" si="0"/>
        <v>CE-S2-008 Prompt Templates con Versioning Sprint 2 Semana 2 2026-01-10 2026-01-10 1 P0 done AI Gate 5 Ninguna AI Lead Template engine con variables versión en metadata Bajo Avanzamos con la octava actividad del Sprint 2.
Esta tarea, aunque pequeña en Story Points (1 SP), tiene un impacto enorme en la Calidad (Quality Assurance) y la experiencia del desarrollador frontend (DX). Una API que devuelve errores inconsistentes (a veces un string, a veces un JSON plano, a veces el default de Pydantic) es una pesadilla para integrar. Necesitamos estandarizar esto antes de empezar con el Frontend.
📝 Actividad 8: CE-S2-009
Nombre: Error Handling Consistente API Dominio: Backend Story Points: 1 Dependencias: Ninguna
Aquí tienes el prompt optimizado para estandarizar las respuestas de error.
🚀 Prompt Optimizado
Contexto: Estamos puliendo el backend de C2Pro (FastAPI) para prepararlo para la integración con el frontend. Actualmente, los errores de validación de Pydantic y las excepciones HTTP devuelven estructuras diferentes, lo que dificulta que el cliente (Next.js) muestre mensajes claros al usuario. Necesitamos un Mecanismo Global de Manejo de Errores que intercepte todas las excepciones y devuelva siempre una estructura JSON predecible y uniforme.
Rol: Actúa como un API Designer meticuloso, preocupado por la experiencia del desarrollador (DX) y la observabilidad.
Tarea: Crear el módulo core/exceptions.py (para definiciones) y core/handlers.py (para lógica de intercepción) y proporcionar el código para registrarlos en la app principal de FastAPI.
Requisitos Técnicos:
Esquema de Error Unificado:
Todas las respuestas de error (4xx y 5xx) deben seguir este formato JSON:
JSON
{
  "status_code": 400,
  "error_code": "INVALID_INPUT",
  "message": "Descripción legible para humanos",
  "details": { ... }, // Opcional: detalle de campos fallidos
  "timestamp": "ISO-8601",
  "path": "/api/v1/..."
}
Manejo de Pydantic v2 (RequestValidationError):
Crítico: Sobrescribe el handler por defecto. Transforma la lista compleja de errores de Pydantic en un diccionario simple campo: error dentro de details, para que el frontend pueda marcar fácilmente los inputs en rojo.
Excepciones Personalizadas:
Define una clase base AppException y subclases comunes que usaremos en la lógica de negocio:
ResourceNotFoundException (404)
BusinessLogicException (400)
PermissionDeniedException (403)
QuotaExceededException (429) - Importante para el control de costes de IA.
Logging de Errores 500:
Cualquier excepción no manejada (Internal Server Error) debe ser capturada, logueada con su stack trace en el servidor (para Sentry/CloudWatch) y devolver al usuario solo un mensaje genérico ("Internal system error") con un código de referencia, nunca el stack trace real (por seguridad).
Entregable con:
Las clases de excepción personalizadas.
Las funciones async def para manejar HTTPException, RequestValidationError y Exception genérica.
Snippet mostrando cómo añadir app.add_exception_handler(...) en el archivo main.py.</v>
      </c>
      <c r="W9" t="s">
        <v>715</v>
      </c>
    </row>
    <row r="10" spans="1:23" ht="143.4" customHeight="1" x14ac:dyDescent="0.3">
      <c r="A10" s="10" t="s">
        <v>114</v>
      </c>
      <c r="B10" s="10" t="s">
        <v>115</v>
      </c>
      <c r="C10" s="10" t="s">
        <v>18</v>
      </c>
      <c r="D10" s="10" t="s">
        <v>71</v>
      </c>
      <c r="E10" s="10" t="s">
        <v>73</v>
      </c>
      <c r="F10" s="10" t="s">
        <v>73</v>
      </c>
      <c r="G10" s="10">
        <v>1</v>
      </c>
      <c r="H10" s="11" t="s">
        <v>15</v>
      </c>
      <c r="I10" s="10" t="s">
        <v>676</v>
      </c>
      <c r="J10" s="10" t="s">
        <v>75</v>
      </c>
      <c r="K10" s="10"/>
      <c r="L10" s="10" t="s">
        <v>76</v>
      </c>
      <c r="M10" s="10" t="s">
        <v>77</v>
      </c>
      <c r="N10" s="10" t="s">
        <v>116</v>
      </c>
      <c r="O10" s="10" t="s">
        <v>79</v>
      </c>
      <c r="P10" s="10" t="s">
        <v>117</v>
      </c>
      <c r="Q10" s="10">
        <v>1</v>
      </c>
      <c r="R10" s="22" t="s">
        <v>677</v>
      </c>
      <c r="S10" s="26" t="s">
        <v>689</v>
      </c>
      <c r="V10" t="str">
        <f t="shared" si="0"/>
        <v>CE-S2-009 Error Handling Consistente API Sprint 2 Semana 2 2026-01-10 2026-01-10 1 P0 done Backend  Ninguna Backend Lead Excepciones custom códigos HTTP JSON estructurado Bajo apps/api/src/core/exceptions.py</v>
      </c>
      <c r="W10" t="s">
        <v>716</v>
      </c>
    </row>
    <row r="11" spans="1:23" ht="120" customHeight="1" x14ac:dyDescent="0.3">
      <c r="A11" s="10" t="s">
        <v>118</v>
      </c>
      <c r="B11" s="10" t="s">
        <v>119</v>
      </c>
      <c r="C11" s="10" t="s">
        <v>18</v>
      </c>
      <c r="D11" s="10" t="s">
        <v>71</v>
      </c>
      <c r="E11" s="10" t="s">
        <v>72</v>
      </c>
      <c r="F11" s="10" t="s">
        <v>72</v>
      </c>
      <c r="G11" s="10">
        <v>1</v>
      </c>
      <c r="H11" s="11" t="s">
        <v>15</v>
      </c>
      <c r="I11" s="10" t="s">
        <v>676</v>
      </c>
      <c r="J11" s="10" t="s">
        <v>120</v>
      </c>
      <c r="K11" s="10" t="s">
        <v>45</v>
      </c>
      <c r="L11" s="10" t="s">
        <v>76</v>
      </c>
      <c r="M11" s="10" t="s">
        <v>121</v>
      </c>
      <c r="N11" s="10" t="s">
        <v>122</v>
      </c>
      <c r="O11" s="10" t="s">
        <v>95</v>
      </c>
      <c r="P11" s="10" t="s">
        <v>123</v>
      </c>
      <c r="Q11" s="10">
        <v>2</v>
      </c>
      <c r="R11" s="22" t="s">
        <v>681</v>
      </c>
      <c r="S11" s="29" t="s">
        <v>688</v>
      </c>
      <c r="V11" t="str">
        <f t="shared" si="0"/>
        <v>CE-S2-010 Wireframes 6 Vistas Core Sprint 2 Semana 2 2026-01-09 2026-01-09 1 P0 done UX/UI Gate 6 Ninguna UX Designer Wireframes Dashboard/Projects/Evidence/Alerts/Stakeholders/RACI Medio docs/wireframes/</v>
      </c>
      <c r="W11" t="s">
        <v>717</v>
      </c>
    </row>
    <row r="12" spans="1:23" ht="221.4" customHeight="1" x14ac:dyDescent="0.3">
      <c r="A12" s="10" t="s">
        <v>124</v>
      </c>
      <c r="B12" s="10" t="s">
        <v>125</v>
      </c>
      <c r="C12" s="10" t="s">
        <v>18</v>
      </c>
      <c r="D12" s="10" t="s">
        <v>71</v>
      </c>
      <c r="E12" s="10" t="s">
        <v>73</v>
      </c>
      <c r="F12" s="10" t="s">
        <v>73</v>
      </c>
      <c r="G12" s="10">
        <v>1</v>
      </c>
      <c r="H12" s="11" t="s">
        <v>15</v>
      </c>
      <c r="I12" s="10" t="s">
        <v>676</v>
      </c>
      <c r="J12" s="10" t="s">
        <v>126</v>
      </c>
      <c r="K12" s="10"/>
      <c r="L12" s="10" t="s">
        <v>76</v>
      </c>
      <c r="M12" s="10" t="s">
        <v>127</v>
      </c>
      <c r="N12" s="10" t="s">
        <v>128</v>
      </c>
      <c r="O12" s="10" t="s">
        <v>79</v>
      </c>
      <c r="P12" s="10" t="s">
        <v>129</v>
      </c>
      <c r="Q12" s="10">
        <v>2</v>
      </c>
      <c r="R12" s="23" t="s">
        <v>844</v>
      </c>
      <c r="S12" s="29" t="s">
        <v>683</v>
      </c>
      <c r="V12" t="str">
        <f t="shared" si="0"/>
        <v>CE-S2-011 Setup Next.js 14 + Tailwind + shadcn/ui Sprint 2 Semana 2 2026-01-10 2026-01-10 1 P0 done Frontend  Ninguna Frontend Lead Proyecto configurado componentes base app renderiza Bajo apps/web/</v>
      </c>
      <c r="W12" t="s">
        <v>718</v>
      </c>
    </row>
    <row r="13" spans="1:23" ht="168" customHeight="1" x14ac:dyDescent="0.3">
      <c r="A13" s="10" t="s">
        <v>130</v>
      </c>
      <c r="B13" s="10" t="s">
        <v>131</v>
      </c>
      <c r="C13" s="10" t="s">
        <v>18</v>
      </c>
      <c r="D13" s="10" t="s">
        <v>71</v>
      </c>
      <c r="E13" s="10" t="s">
        <v>72</v>
      </c>
      <c r="F13" s="10" t="s">
        <v>72</v>
      </c>
      <c r="G13" s="10">
        <v>1</v>
      </c>
      <c r="H13" s="11" t="s">
        <v>15</v>
      </c>
      <c r="I13" s="10" t="s">
        <v>676</v>
      </c>
      <c r="J13" s="10" t="s">
        <v>93</v>
      </c>
      <c r="K13" s="10"/>
      <c r="L13" s="10" t="s">
        <v>76</v>
      </c>
      <c r="M13" s="10" t="s">
        <v>93</v>
      </c>
      <c r="N13" s="10" t="s">
        <v>132</v>
      </c>
      <c r="O13" s="10" t="s">
        <v>79</v>
      </c>
      <c r="P13" s="10" t="s">
        <v>133</v>
      </c>
      <c r="Q13" s="10">
        <v>2</v>
      </c>
      <c r="R13" s="22" t="s">
        <v>677</v>
      </c>
      <c r="S13" s="28" t="s">
        <v>694</v>
      </c>
      <c r="V13" t="str">
        <f t="shared" si="0"/>
        <v>CE-S2-012 GitHub Actions CI Completo Sprint 2 Semana 2 2026-01-09 2026-01-09 1 P0 done DevOps  Ninguna DevOps Lint/test/build cada PR bloqueados sin CI verde Bajo .github/workflows/ci.yml</v>
      </c>
      <c r="W13" t="s">
        <v>719</v>
      </c>
    </row>
    <row r="14" spans="1:23" ht="246" customHeight="1" x14ac:dyDescent="0.3">
      <c r="A14" s="10" t="s">
        <v>134</v>
      </c>
      <c r="B14" s="10" t="s">
        <v>135</v>
      </c>
      <c r="C14" s="10" t="s">
        <v>18</v>
      </c>
      <c r="D14" s="10" t="s">
        <v>71</v>
      </c>
      <c r="E14" s="10" t="s">
        <v>73</v>
      </c>
      <c r="F14" s="10" t="s">
        <v>73</v>
      </c>
      <c r="G14" s="10">
        <v>0.5</v>
      </c>
      <c r="H14" s="11" t="s">
        <v>15</v>
      </c>
      <c r="I14" s="10" t="s">
        <v>676</v>
      </c>
      <c r="J14" s="10" t="s">
        <v>93</v>
      </c>
      <c r="K14" s="10"/>
      <c r="L14" s="10" t="s">
        <v>130</v>
      </c>
      <c r="M14" s="10" t="s">
        <v>93</v>
      </c>
      <c r="N14" s="10" t="s">
        <v>136</v>
      </c>
      <c r="O14" s="10" t="s">
        <v>79</v>
      </c>
      <c r="P14" s="10" t="s">
        <v>137</v>
      </c>
      <c r="Q14" s="10">
        <v>1</v>
      </c>
      <c r="R14" s="22" t="s">
        <v>677</v>
      </c>
      <c r="S14" s="28" t="s">
        <v>695</v>
      </c>
      <c r="V14" t="str">
        <f t="shared" si="0"/>
        <v>CE-S2-013 Auto-deploy Staging on Merge Main Sprint 2 Semana 2 2026-01-10 2026-01-10 0,5 P0 done DevOps  CE-S2-012 DevOps Railway + Vercel webhooks merge deploy &lt;5 min Bajo .github/workflows/deploy-staging.yml</v>
      </c>
      <c r="W14" t="s">
        <v>720</v>
      </c>
    </row>
    <row r="15" spans="1:23" ht="141.6" customHeight="1" x14ac:dyDescent="0.3">
      <c r="A15" s="10" t="s">
        <v>138</v>
      </c>
      <c r="B15" s="10" t="s">
        <v>139</v>
      </c>
      <c r="C15" s="10" t="s">
        <v>18</v>
      </c>
      <c r="D15" s="10" t="s">
        <v>71</v>
      </c>
      <c r="E15" s="10" t="s">
        <v>87</v>
      </c>
      <c r="F15" s="10" t="s">
        <v>87</v>
      </c>
      <c r="G15" s="10">
        <v>0.5</v>
      </c>
      <c r="H15" s="12" t="s">
        <v>16</v>
      </c>
      <c r="I15" s="10" t="s">
        <v>676</v>
      </c>
      <c r="J15" s="10" t="s">
        <v>140</v>
      </c>
      <c r="K15" s="10"/>
      <c r="L15" s="10" t="s">
        <v>76</v>
      </c>
      <c r="M15" s="10" t="s">
        <v>77</v>
      </c>
      <c r="N15" s="10" t="s">
        <v>141</v>
      </c>
      <c r="O15" s="10" t="s">
        <v>79</v>
      </c>
      <c r="P15" s="10" t="s">
        <v>142</v>
      </c>
      <c r="Q15" s="10">
        <v>1</v>
      </c>
      <c r="R15" s="22" t="s">
        <v>677</v>
      </c>
      <c r="S15" s="28" t="s">
        <v>687</v>
      </c>
      <c r="V15" t="str">
        <f t="shared" si="0"/>
        <v>CE-S2-014 Benchmark Baseline Endpoints Sprint 2 Semana 2 2026-01-11 2026-01-11 0,5 P1 done Performance  Ninguna Backend Lead Latencia P50/P95/P99 métricas baseline documentadas Bajo docs/performance/baseline.md</v>
      </c>
      <c r="W15" t="s">
        <v>721</v>
      </c>
    </row>
    <row r="16" spans="1:23" ht="129.6" customHeight="1" x14ac:dyDescent="0.3">
      <c r="A16" s="10" t="s">
        <v>143</v>
      </c>
      <c r="B16" s="10" t="s">
        <v>144</v>
      </c>
      <c r="C16" s="10" t="s">
        <v>18</v>
      </c>
      <c r="D16" s="10" t="s">
        <v>71</v>
      </c>
      <c r="E16" s="10" t="s">
        <v>72</v>
      </c>
      <c r="F16" s="10" t="s">
        <v>73</v>
      </c>
      <c r="G16" s="10">
        <v>2</v>
      </c>
      <c r="H16" s="11" t="s">
        <v>15</v>
      </c>
      <c r="I16" s="10" t="s">
        <v>676</v>
      </c>
      <c r="J16" s="10" t="s">
        <v>145</v>
      </c>
      <c r="K16" s="10" t="s">
        <v>41</v>
      </c>
      <c r="L16" s="10" t="s">
        <v>76</v>
      </c>
      <c r="M16" s="10" t="s">
        <v>146</v>
      </c>
      <c r="N16" s="10" t="s">
        <v>147</v>
      </c>
      <c r="O16" s="10" t="s">
        <v>95</v>
      </c>
      <c r="P16" s="10" t="s">
        <v>148</v>
      </c>
      <c r="Q16" s="10">
        <v>3</v>
      </c>
      <c r="R16" s="22" t="s">
        <v>677</v>
      </c>
      <c r="S16" s="28" t="s">
        <v>696</v>
      </c>
      <c r="T16" s="28" t="s">
        <v>685</v>
      </c>
      <c r="V16" t="str">
        <f t="shared" si="0"/>
        <v>CE-S2-015 Golden Dataset v1.0 (10 proyectos) Sprint 2 Semana 2 2026-01-09 2026-01-10 2 P0 done Testing Gate 5 Ninguna QA Lead 10 proyectos sintéticos anotados README incluido Medio tests/golden/</v>
      </c>
      <c r="W16" t="s">
        <v>722</v>
      </c>
    </row>
    <row r="17" spans="1:23" ht="111.6" customHeight="1" x14ac:dyDescent="0.3">
      <c r="A17" s="10" t="s">
        <v>149</v>
      </c>
      <c r="B17" s="10" t="s">
        <v>150</v>
      </c>
      <c r="C17" s="10" t="s">
        <v>18</v>
      </c>
      <c r="D17" s="10" t="s">
        <v>71</v>
      </c>
      <c r="E17" s="10" t="s">
        <v>87</v>
      </c>
      <c r="F17" s="10" t="s">
        <v>87</v>
      </c>
      <c r="G17" s="10">
        <v>1</v>
      </c>
      <c r="H17" s="11" t="s">
        <v>15</v>
      </c>
      <c r="I17" s="10" t="s">
        <v>676</v>
      </c>
      <c r="J17" s="10" t="s">
        <v>145</v>
      </c>
      <c r="K17" s="10" t="s">
        <v>41</v>
      </c>
      <c r="L17" s="10" t="s">
        <v>143</v>
      </c>
      <c r="M17" s="10" t="s">
        <v>146</v>
      </c>
      <c r="N17" s="10" t="s">
        <v>151</v>
      </c>
      <c r="O17" s="10" t="s">
        <v>95</v>
      </c>
      <c r="P17" s="10" t="s">
        <v>152</v>
      </c>
      <c r="Q17" s="10">
        <v>2</v>
      </c>
      <c r="R17" s="22" t="s">
        <v>677</v>
      </c>
      <c r="S17" s="28" t="s">
        <v>686</v>
      </c>
      <c r="T17" s="28" t="s">
        <v>690</v>
      </c>
      <c r="V17" t="str">
        <f t="shared" si="0"/>
        <v>CE-S2-016 Tests Regresión Accuracy CI Sprint 2 Semana 2 2026-01-11 2026-01-11 1 P0 done Testing Gate 5 CE-S2-015 QA Lead CI compara accuracy vs baseline falla si &lt;85% Medio tests/accuracy/</v>
      </c>
      <c r="W17" t="s">
        <v>723</v>
      </c>
    </row>
    <row r="18" spans="1:23" ht="409.6" x14ac:dyDescent="0.3">
      <c r="A18" s="13" t="s">
        <v>153</v>
      </c>
      <c r="B18" s="13" t="s">
        <v>154</v>
      </c>
      <c r="C18" s="13" t="s">
        <v>19</v>
      </c>
      <c r="D18" s="13" t="s">
        <v>155</v>
      </c>
      <c r="E18" s="13" t="s">
        <v>156</v>
      </c>
      <c r="F18" s="13" t="s">
        <v>157</v>
      </c>
      <c r="G18" s="13">
        <v>3</v>
      </c>
      <c r="H18" s="11" t="s">
        <v>15</v>
      </c>
      <c r="I18" s="13" t="s">
        <v>676</v>
      </c>
      <c r="J18" s="13" t="s">
        <v>75</v>
      </c>
      <c r="K18" s="13" t="s">
        <v>38</v>
      </c>
      <c r="L18" s="13" t="s">
        <v>76</v>
      </c>
      <c r="M18" s="13" t="s">
        <v>77</v>
      </c>
      <c r="N18" s="13" t="s">
        <v>158</v>
      </c>
      <c r="O18" s="13" t="s">
        <v>95</v>
      </c>
      <c r="P18" s="13" t="s">
        <v>159</v>
      </c>
      <c r="Q18" s="13">
        <v>5</v>
      </c>
      <c r="R18" s="22" t="s">
        <v>677</v>
      </c>
      <c r="S18" s="28" t="s">
        <v>699</v>
      </c>
      <c r="T18" s="28" t="s">
        <v>700</v>
      </c>
      <c r="V18" t="str">
        <f t="shared" si="0"/>
        <v>CE-S3-001 Parser PDF con PyMuPDF Sprint 3 Semana 3 2026-01-13 2026-01-15 3 P0 done Backend Gate 4 Ninguna Backend Lead Extracción texto posiciones offsets 10 PDFs test Medio apps/api/src/parsers/pdf_parser.py</v>
      </c>
      <c r="W18" t="s">
        <v>724</v>
      </c>
    </row>
    <row r="19" spans="1:23" ht="409.6" x14ac:dyDescent="0.3">
      <c r="A19" s="13" t="s">
        <v>160</v>
      </c>
      <c r="B19" s="13" t="s">
        <v>161</v>
      </c>
      <c r="C19" s="13" t="s">
        <v>19</v>
      </c>
      <c r="D19" s="13" t="s">
        <v>155</v>
      </c>
      <c r="E19" s="13" t="s">
        <v>156</v>
      </c>
      <c r="F19" s="13" t="s">
        <v>162</v>
      </c>
      <c r="G19" s="13">
        <v>2</v>
      </c>
      <c r="H19" s="11" t="s">
        <v>15</v>
      </c>
      <c r="I19" s="13" t="s">
        <v>676</v>
      </c>
      <c r="J19" s="13" t="s">
        <v>75</v>
      </c>
      <c r="K19" s="13" t="s">
        <v>38</v>
      </c>
      <c r="L19" s="13" t="s">
        <v>76</v>
      </c>
      <c r="M19" s="13" t="s">
        <v>77</v>
      </c>
      <c r="N19" s="13" t="s">
        <v>163</v>
      </c>
      <c r="O19" s="13" t="s">
        <v>79</v>
      </c>
      <c r="P19" s="13" t="s">
        <v>164</v>
      </c>
      <c r="Q19" s="13">
        <v>3</v>
      </c>
      <c r="R19" s="22" t="s">
        <v>677</v>
      </c>
      <c r="S19" s="28" t="s">
        <v>703</v>
      </c>
      <c r="T19" s="28" t="s">
        <v>701</v>
      </c>
      <c r="V19" t="str">
        <f t="shared" si="0"/>
        <v>CE-S3-002 Parser Excel con openpyxl Sprint 3 Semana 3 2026-01-13 2026-01-14 2 P0 done Backend Gate 4 Ninguna Backend Lead Lectura cronogramas presupuestos formatos estándar Bajo apps/api/src/parsers/excel_parser.py</v>
      </c>
      <c r="W19" t="s">
        <v>725</v>
      </c>
    </row>
    <row r="20" spans="1:23" ht="409.6" x14ac:dyDescent="0.3">
      <c r="A20" s="13" t="s">
        <v>165</v>
      </c>
      <c r="B20" s="13" t="s">
        <v>166</v>
      </c>
      <c r="C20" s="13" t="s">
        <v>19</v>
      </c>
      <c r="D20" s="13" t="s">
        <v>155</v>
      </c>
      <c r="E20" s="13" t="s">
        <v>157</v>
      </c>
      <c r="F20" s="13" t="s">
        <v>167</v>
      </c>
      <c r="G20" s="13">
        <v>2</v>
      </c>
      <c r="H20" s="11" t="s">
        <v>15</v>
      </c>
      <c r="I20" s="13" t="s">
        <v>676</v>
      </c>
      <c r="J20" s="13" t="s">
        <v>75</v>
      </c>
      <c r="K20" s="13" t="s">
        <v>38</v>
      </c>
      <c r="L20" s="13" t="s">
        <v>76</v>
      </c>
      <c r="M20" s="13" t="s">
        <v>77</v>
      </c>
      <c r="N20" s="13" t="s">
        <v>168</v>
      </c>
      <c r="O20" s="13" t="s">
        <v>95</v>
      </c>
      <c r="P20" s="13" t="s">
        <v>169</v>
      </c>
      <c r="Q20" s="13">
        <v>3</v>
      </c>
      <c r="R20" s="22" t="s">
        <v>677</v>
      </c>
      <c r="S20" s="28" t="s">
        <v>704</v>
      </c>
      <c r="T20" s="28" t="s">
        <v>789</v>
      </c>
      <c r="V20" t="str">
        <f t="shared" si="0"/>
        <v>CE-S3-003 Parser BC3 con pyfiebdc Sprint 3 Semana 3 2026-01-15 2026-01-16 2 P0 done Backend Gate 4 Ninguna Backend Lead Partidas presupuestarias españolas BC3 100% Medio apps/api/src/parsers/bc3_parser.py</v>
      </c>
      <c r="W20" t="s">
        <v>726</v>
      </c>
    </row>
    <row r="21" spans="1:23" ht="409.6" x14ac:dyDescent="0.3">
      <c r="A21" s="13" t="s">
        <v>170</v>
      </c>
      <c r="B21" s="13" t="s">
        <v>171</v>
      </c>
      <c r="C21" s="13" t="s">
        <v>19</v>
      </c>
      <c r="D21" s="13" t="s">
        <v>155</v>
      </c>
      <c r="E21" s="13" t="s">
        <v>167</v>
      </c>
      <c r="F21" s="13" t="s">
        <v>172</v>
      </c>
      <c r="G21" s="13">
        <v>2</v>
      </c>
      <c r="H21" s="11" t="s">
        <v>15</v>
      </c>
      <c r="I21" s="13" t="s">
        <v>676</v>
      </c>
      <c r="J21" s="13" t="s">
        <v>173</v>
      </c>
      <c r="K21" s="13" t="s">
        <v>51</v>
      </c>
      <c r="L21" s="13" t="s">
        <v>153</v>
      </c>
      <c r="M21" s="13" t="s">
        <v>174</v>
      </c>
      <c r="N21" s="13" t="s">
        <v>175</v>
      </c>
      <c r="O21" s="13" t="s">
        <v>176</v>
      </c>
      <c r="P21" s="13" t="s">
        <v>177</v>
      </c>
      <c r="Q21" s="13">
        <v>3</v>
      </c>
      <c r="R21" s="22" t="s">
        <v>677</v>
      </c>
      <c r="S21" s="28" t="s">
        <v>705</v>
      </c>
      <c r="V21" t="str">
        <f t="shared" si="0"/>
        <v>CE-S3-004 Anonymizer Service PII Sprint 3 Semana 3 2026-01-16 2026-01-17 2 P0 done Security Gate 8 CE-S3-001 Security Lead Detección hash DNI/email/teléfono/IBAN 0 PII Claude Alto apps/api/src/services/anonymizer.py</v>
      </c>
      <c r="W21" t="s">
        <v>727</v>
      </c>
    </row>
    <row r="22" spans="1:23" ht="409.6" x14ac:dyDescent="0.3">
      <c r="A22" s="13" t="s">
        <v>178</v>
      </c>
      <c r="B22" s="13" t="s">
        <v>179</v>
      </c>
      <c r="C22" s="13" t="s">
        <v>19</v>
      </c>
      <c r="D22" s="13" t="s">
        <v>155</v>
      </c>
      <c r="E22" s="13" t="s">
        <v>157</v>
      </c>
      <c r="F22" s="13" t="s">
        <v>167</v>
      </c>
      <c r="G22" s="13">
        <v>2</v>
      </c>
      <c r="H22" s="11" t="s">
        <v>15</v>
      </c>
      <c r="I22" s="13" t="s">
        <v>676</v>
      </c>
      <c r="J22" s="13" t="s">
        <v>99</v>
      </c>
      <c r="K22" s="13" t="s">
        <v>38</v>
      </c>
      <c r="L22" s="13" t="s">
        <v>153</v>
      </c>
      <c r="M22" s="13" t="s">
        <v>100</v>
      </c>
      <c r="N22" s="13" t="s">
        <v>180</v>
      </c>
      <c r="O22" s="13" t="s">
        <v>176</v>
      </c>
      <c r="P22" s="13" t="s">
        <v>181</v>
      </c>
      <c r="Q22" s="13">
        <v>5</v>
      </c>
      <c r="R22" s="22" t="s">
        <v>677</v>
      </c>
      <c r="S22" s="28" t="s">
        <v>790</v>
      </c>
      <c r="V22" t="str">
        <f t="shared" si="0"/>
        <v>CE-S3-005 ClauseExtractorAgent Sprint 3 Semana 3 2026-01-15 2026-01-16 2 P0 done AI Gate 4 CE-S3-001 AI Lead Extracción cláusulas IDs estables únicos documento Alto apps/api/src/agents/clause_extractor.py</v>
      </c>
      <c r="W22" t="s">
        <v>728</v>
      </c>
    </row>
    <row r="23" spans="1:23" ht="61.2" customHeight="1" x14ac:dyDescent="0.3">
      <c r="A23" s="33" t="s">
        <v>182</v>
      </c>
      <c r="B23" s="13" t="s">
        <v>183</v>
      </c>
      <c r="C23" s="13" t="s">
        <v>19</v>
      </c>
      <c r="D23" s="13" t="s">
        <v>155</v>
      </c>
      <c r="E23" s="13" t="s">
        <v>156</v>
      </c>
      <c r="F23" s="13" t="s">
        <v>162</v>
      </c>
      <c r="G23" s="13">
        <v>2</v>
      </c>
      <c r="H23" s="11" t="s">
        <v>15</v>
      </c>
      <c r="I23" s="13" t="s">
        <v>676</v>
      </c>
      <c r="J23" s="13" t="s">
        <v>92</v>
      </c>
      <c r="K23" s="13" t="s">
        <v>48</v>
      </c>
      <c r="L23" s="13" t="s">
        <v>90</v>
      </c>
      <c r="M23" s="13" t="s">
        <v>93</v>
      </c>
      <c r="N23" s="13" t="s">
        <v>184</v>
      </c>
      <c r="O23" s="13" t="s">
        <v>95</v>
      </c>
      <c r="P23" s="13" t="s">
        <v>185</v>
      </c>
      <c r="Q23" s="13">
        <v>3</v>
      </c>
      <c r="R23" s="22" t="s">
        <v>677</v>
      </c>
      <c r="S23" s="28" t="s">
        <v>791</v>
      </c>
      <c r="T23" s="29" t="s">
        <v>691</v>
      </c>
      <c r="V23" t="str">
        <f t="shared" si="0"/>
        <v>CE-S3-006 Task Queue Celery/Redis Sprint 3 Semana 3 2026-01-13 2026-01-14 2 P0 done Infrastructure Gate 7 CE-S2-004 DevOps Jobs async parsing coherence 100 pág no bloquea Medio apps/api/src/tasks/</v>
      </c>
      <c r="W23" t="s">
        <v>729</v>
      </c>
    </row>
    <row r="24" spans="1:23" ht="409.6" x14ac:dyDescent="0.3">
      <c r="A24" s="13" t="s">
        <v>186</v>
      </c>
      <c r="B24" s="13" t="s">
        <v>187</v>
      </c>
      <c r="C24" s="13" t="s">
        <v>19</v>
      </c>
      <c r="D24" s="13" t="s">
        <v>155</v>
      </c>
      <c r="E24" s="13" t="s">
        <v>162</v>
      </c>
      <c r="F24" s="13" t="s">
        <v>162</v>
      </c>
      <c r="G24" s="13">
        <v>0.5</v>
      </c>
      <c r="H24" s="11" t="s">
        <v>15</v>
      </c>
      <c r="I24" s="13" t="s">
        <v>676</v>
      </c>
      <c r="J24" s="13" t="s">
        <v>188</v>
      </c>
      <c r="K24" s="13" t="s">
        <v>41</v>
      </c>
      <c r="L24" s="13" t="s">
        <v>69</v>
      </c>
      <c r="M24" s="13" t="s">
        <v>77</v>
      </c>
      <c r="N24" s="13" t="s">
        <v>189</v>
      </c>
      <c r="O24" s="13" t="s">
        <v>79</v>
      </c>
      <c r="P24" s="13" t="s">
        <v>190</v>
      </c>
      <c r="Q24" s="13">
        <v>1</v>
      </c>
      <c r="R24" s="23" t="s">
        <v>677</v>
      </c>
      <c r="S24" s="28" t="s">
        <v>792</v>
      </c>
      <c r="T24" s="27" t="s">
        <v>692</v>
      </c>
      <c r="V24" t="str">
        <f t="shared" si="0"/>
        <v>CE-S3-007 Endpoint GET /projects/{id}/coherence-score Sprint 3 Semana 3 2026-01-14 2026-01-14 0,5 P0 done API Gate 5 CE-S2-001 Backend Lead Response schema validado score + breakdown Bajo apps/api/src/routers/projects.py</v>
      </c>
      <c r="W24" t="s">
        <v>730</v>
      </c>
    </row>
    <row r="25" spans="1:23" ht="213.6" customHeight="1" x14ac:dyDescent="0.3">
      <c r="A25" s="13" t="s">
        <v>191</v>
      </c>
      <c r="B25" s="13" t="s">
        <v>192</v>
      </c>
      <c r="C25" s="13" t="s">
        <v>19</v>
      </c>
      <c r="D25" s="13" t="s">
        <v>155</v>
      </c>
      <c r="E25" s="13" t="s">
        <v>162</v>
      </c>
      <c r="F25" s="13" t="s">
        <v>157</v>
      </c>
      <c r="G25" s="13">
        <v>1</v>
      </c>
      <c r="H25" s="11" t="s">
        <v>15</v>
      </c>
      <c r="I25" s="13" t="s">
        <v>676</v>
      </c>
      <c r="J25" s="13" t="s">
        <v>188</v>
      </c>
      <c r="K25" s="13"/>
      <c r="L25" s="13" t="s">
        <v>69</v>
      </c>
      <c r="M25" s="13" t="s">
        <v>77</v>
      </c>
      <c r="N25" s="13" t="s">
        <v>193</v>
      </c>
      <c r="O25" s="13" t="s">
        <v>79</v>
      </c>
      <c r="P25" s="13" t="s">
        <v>190</v>
      </c>
      <c r="Q25" s="13">
        <v>2</v>
      </c>
      <c r="R25" s="23" t="s">
        <v>677</v>
      </c>
      <c r="S25" s="28" t="s">
        <v>793</v>
      </c>
      <c r="T25" s="27" t="s">
        <v>693</v>
      </c>
      <c r="V25" t="str">
        <f t="shared" si="0"/>
        <v>CE-S3-008 Endpoints CRUD /projects Sprint 3 Semana 3 2026-01-14 2026-01-15 1 P0 done API  CE-S2-001 Backend Lead List/Get/Create/Update/Delete tests integración Bajo apps/api/src/routers/projects.py</v>
      </c>
      <c r="W25" t="s">
        <v>731</v>
      </c>
    </row>
    <row r="26" spans="1:23" ht="409.6" x14ac:dyDescent="0.3">
      <c r="A26" s="13" t="s">
        <v>194</v>
      </c>
      <c r="B26" s="13" t="s">
        <v>195</v>
      </c>
      <c r="C26" s="13" t="s">
        <v>19</v>
      </c>
      <c r="D26" s="13" t="s">
        <v>155</v>
      </c>
      <c r="E26" s="13" t="s">
        <v>156</v>
      </c>
      <c r="F26" s="13" t="s">
        <v>156</v>
      </c>
      <c r="G26" s="13">
        <v>0.5</v>
      </c>
      <c r="H26" s="11" t="s">
        <v>15</v>
      </c>
      <c r="I26" s="13" t="s">
        <v>679</v>
      </c>
      <c r="J26" s="13" t="s">
        <v>93</v>
      </c>
      <c r="K26" s="13"/>
      <c r="L26" s="13" t="s">
        <v>76</v>
      </c>
      <c r="M26" s="13" t="s">
        <v>93</v>
      </c>
      <c r="N26" s="13" t="s">
        <v>196</v>
      </c>
      <c r="O26" s="13" t="s">
        <v>79</v>
      </c>
      <c r="P26" s="13" t="s">
        <v>197</v>
      </c>
      <c r="Q26" s="13">
        <v>1</v>
      </c>
      <c r="R26" s="23" t="s">
        <v>677</v>
      </c>
      <c r="S26" s="28" t="s">
        <v>795</v>
      </c>
      <c r="T26" s="28" t="s">
        <v>796</v>
      </c>
      <c r="U26" s="29" t="s">
        <v>797</v>
      </c>
      <c r="V26" t="str">
        <f t="shared" si="0"/>
        <v>CE-S3-009 Health Check Endpoints Sprint 3 Semana 3 2026-01-13 2026-01-13 0,5 P0 en curso DevOps  Ninguna DevOps /health /ready /live UptimeRobot configurado Bajo apps/api/src/routers/health.py</v>
      </c>
      <c r="W26" t="s">
        <v>732</v>
      </c>
    </row>
    <row r="27" spans="1:23" ht="409.6" x14ac:dyDescent="0.3">
      <c r="A27" s="13" t="s">
        <v>198</v>
      </c>
      <c r="B27" s="13" t="s">
        <v>199</v>
      </c>
      <c r="C27" s="13" t="s">
        <v>19</v>
      </c>
      <c r="D27" s="13" t="s">
        <v>155</v>
      </c>
      <c r="E27" s="13" t="s">
        <v>162</v>
      </c>
      <c r="F27" s="13" t="s">
        <v>162</v>
      </c>
      <c r="G27" s="13">
        <v>1</v>
      </c>
      <c r="H27" s="11" t="s">
        <v>15</v>
      </c>
      <c r="I27" s="13" t="s">
        <v>676</v>
      </c>
      <c r="J27" s="13" t="s">
        <v>93</v>
      </c>
      <c r="K27" s="13" t="s">
        <v>51</v>
      </c>
      <c r="L27" s="13" t="s">
        <v>76</v>
      </c>
      <c r="M27" s="13" t="s">
        <v>93</v>
      </c>
      <c r="N27" s="13" t="s">
        <v>200</v>
      </c>
      <c r="O27" s="13" t="s">
        <v>79</v>
      </c>
      <c r="P27" s="13" t="s">
        <v>201</v>
      </c>
      <c r="Q27" s="13">
        <v>1</v>
      </c>
      <c r="R27" s="23" t="s">
        <v>678</v>
      </c>
      <c r="S27" s="28" t="s">
        <v>794</v>
      </c>
      <c r="U27" t="e" cm="1">
        <f t="array" aca="1" ref="U27" ca="1">unirtexto()</f>
        <v>#NAME?</v>
      </c>
      <c r="V27" t="str">
        <f t="shared" si="0"/>
        <v>CE-S3-010 Secrets Management GitHub Sprint 3 Semana 3 2026-01-14 2026-01-14 1 P0 done DevOps Gate 8 Ninguna DevOps Separación secrets entorno 0 secrets código Bajo .github/workflows/</v>
      </c>
      <c r="W27" t="s">
        <v>733</v>
      </c>
    </row>
    <row r="28" spans="1:23" ht="409.6" x14ac:dyDescent="0.3">
      <c r="A28" s="13" t="s">
        <v>202</v>
      </c>
      <c r="B28" s="13" t="s">
        <v>203</v>
      </c>
      <c r="C28" s="13" t="s">
        <v>19</v>
      </c>
      <c r="D28" s="13" t="s">
        <v>155</v>
      </c>
      <c r="E28" s="13" t="s">
        <v>172</v>
      </c>
      <c r="F28" s="13" t="s">
        <v>172</v>
      </c>
      <c r="G28" s="13">
        <v>1</v>
      </c>
      <c r="H28" s="11" t="s">
        <v>15</v>
      </c>
      <c r="I28" s="13" t="s">
        <v>676</v>
      </c>
      <c r="J28" s="13" t="s">
        <v>145</v>
      </c>
      <c r="K28" s="13"/>
      <c r="L28" s="13" t="s">
        <v>204</v>
      </c>
      <c r="M28" s="13" t="s">
        <v>146</v>
      </c>
      <c r="N28" s="13" t="s">
        <v>205</v>
      </c>
      <c r="O28" s="13" t="s">
        <v>95</v>
      </c>
      <c r="P28" s="13" t="s">
        <v>206</v>
      </c>
      <c r="Q28" s="13">
        <v>2</v>
      </c>
      <c r="S28" s="28" t="s">
        <v>815</v>
      </c>
      <c r="V28" t="str">
        <f t="shared" si="0"/>
        <v>CE-S3-011 Tests Integración Parsers Sprint 3 Semana 3 2026-01-17 2026-01-17 1 P0 done Testing  CE-S3-001;CE-S3-002;CE-S3-003 QA Lead Tests archivos reales PDF/Excel/BC3 10 correctos Medio tests/integration/parsers/</v>
      </c>
      <c r="W28" t="s">
        <v>734</v>
      </c>
    </row>
    <row r="29" spans="1:23" ht="409.6" x14ac:dyDescent="0.3">
      <c r="A29" s="13" t="s">
        <v>207</v>
      </c>
      <c r="B29" s="13" t="s">
        <v>208</v>
      </c>
      <c r="C29" s="13" t="s">
        <v>19</v>
      </c>
      <c r="D29" s="13" t="s">
        <v>155</v>
      </c>
      <c r="E29" s="13" t="s">
        <v>167</v>
      </c>
      <c r="F29" s="13" t="s">
        <v>167</v>
      </c>
      <c r="G29" s="13">
        <v>1</v>
      </c>
      <c r="H29" s="11" t="s">
        <v>15</v>
      </c>
      <c r="I29" s="13" t="s">
        <v>676</v>
      </c>
      <c r="J29" s="13" t="s">
        <v>75</v>
      </c>
      <c r="K29" s="13" t="s">
        <v>38</v>
      </c>
      <c r="L29" s="13" t="s">
        <v>178</v>
      </c>
      <c r="M29" s="13" t="s">
        <v>77</v>
      </c>
      <c r="N29" s="13" t="s">
        <v>209</v>
      </c>
      <c r="O29" s="13" t="s">
        <v>95</v>
      </c>
      <c r="P29" s="13" t="s">
        <v>210</v>
      </c>
      <c r="Q29" s="13">
        <v>2</v>
      </c>
      <c r="R29" s="28" t="s">
        <v>702</v>
      </c>
      <c r="V29" t="str">
        <f t="shared" si="0"/>
        <v>CE-S3-012 Propagar clause_id a Stakeholders Sprint 3 Semana 3 2026-01-16 2026-01-16 1 P0 done Backend Gate 4 CE-S3-005 Backend Lead source_clause_id populated 100% stakeholders FK Medio apps/api/src/services/stakeholder_service.py</v>
      </c>
      <c r="W29" t="s">
        <v>735</v>
      </c>
    </row>
    <row r="30" spans="1:23" ht="409.6" x14ac:dyDescent="0.3">
      <c r="A30" s="33" t="s">
        <v>211</v>
      </c>
      <c r="B30" s="13" t="s">
        <v>819</v>
      </c>
      <c r="C30" s="13" t="s">
        <v>19</v>
      </c>
      <c r="D30" s="13" t="s">
        <v>213</v>
      </c>
      <c r="E30" s="13" t="s">
        <v>214</v>
      </c>
      <c r="F30" s="13" t="s">
        <v>215</v>
      </c>
      <c r="G30" s="13">
        <v>2</v>
      </c>
      <c r="H30" s="11" t="s">
        <v>15</v>
      </c>
      <c r="I30" s="13" t="s">
        <v>676</v>
      </c>
      <c r="J30" s="13" t="s">
        <v>99</v>
      </c>
      <c r="K30" s="13" t="s">
        <v>41</v>
      </c>
      <c r="L30" s="13" t="s">
        <v>107</v>
      </c>
      <c r="M30" s="13" t="s">
        <v>100</v>
      </c>
      <c r="N30" s="13" t="s">
        <v>216</v>
      </c>
      <c r="O30" s="13" t="s">
        <v>176</v>
      </c>
      <c r="P30" s="13" t="s">
        <v>217</v>
      </c>
      <c r="Q30" s="13">
        <v>3</v>
      </c>
      <c r="R30" s="23" t="s">
        <v>678</v>
      </c>
      <c r="S30" s="28" t="s">
        <v>706</v>
      </c>
      <c r="T30" s="28" t="s">
        <v>845</v>
      </c>
      <c r="U30" s="28" t="s">
        <v>846</v>
      </c>
      <c r="V30" t="str">
        <f t="shared" si="0"/>
        <v>CE-S4-001 opp Sprint 3 Semana 4 2026-01-20 2026-01-21 2 P0 done AI Gate 5 CE-S2-007 AI Lead Extracción funciona llamadas logueadas retry Alto apps/api/src/ai/ai_service.py</v>
      </c>
      <c r="W30" t="s">
        <v>736</v>
      </c>
    </row>
    <row r="31" spans="1:23" ht="409.6" x14ac:dyDescent="0.3">
      <c r="A31" s="33" t="s">
        <v>218</v>
      </c>
      <c r="B31" s="13" t="s">
        <v>219</v>
      </c>
      <c r="C31" s="13" t="s">
        <v>19</v>
      </c>
      <c r="D31" s="13" t="s">
        <v>213</v>
      </c>
      <c r="E31" s="13" t="s">
        <v>214</v>
      </c>
      <c r="F31" s="13" t="s">
        <v>214</v>
      </c>
      <c r="G31" s="13">
        <v>1</v>
      </c>
      <c r="H31" s="11" t="s">
        <v>15</v>
      </c>
      <c r="I31" s="13" t="s">
        <v>676</v>
      </c>
      <c r="J31" s="13" t="s">
        <v>99</v>
      </c>
      <c r="K31" s="13" t="s">
        <v>48</v>
      </c>
      <c r="L31" s="13" t="s">
        <v>211</v>
      </c>
      <c r="M31" s="13" t="s">
        <v>100</v>
      </c>
      <c r="N31" s="13" t="s">
        <v>220</v>
      </c>
      <c r="O31" s="13" t="s">
        <v>176</v>
      </c>
      <c r="P31" s="13" t="s">
        <v>221</v>
      </c>
      <c r="Q31" s="13">
        <v>2</v>
      </c>
      <c r="R31" s="23" t="s">
        <v>677</v>
      </c>
      <c r="S31" s="28" t="s">
        <v>847</v>
      </c>
      <c r="V31" t="str">
        <f t="shared" si="0"/>
        <v>CE-S4-002 Cost Controller Budget Sprint 3 Semana 4 2026-01-20 2026-01-20 1 P0 done AI Gate 7 CE-S4-001 AI Lead Bloquea LLM exceder budget alertas 50/75/90/100% Alto apps/api/src/ai/cost_controller.py</v>
      </c>
      <c r="W31" t="s">
        <v>737</v>
      </c>
    </row>
    <row r="32" spans="1:23" ht="228.6" customHeight="1" x14ac:dyDescent="0.3">
      <c r="A32" s="33" t="s">
        <v>222</v>
      </c>
      <c r="B32" s="13" t="s">
        <v>223</v>
      </c>
      <c r="C32" s="13" t="s">
        <v>19</v>
      </c>
      <c r="D32" s="13" t="s">
        <v>213</v>
      </c>
      <c r="E32" s="13" t="s">
        <v>215</v>
      </c>
      <c r="F32" s="13" t="s">
        <v>224</v>
      </c>
      <c r="G32" s="13">
        <v>2</v>
      </c>
      <c r="H32" s="11" t="s">
        <v>15</v>
      </c>
      <c r="I32" s="13" t="s">
        <v>676</v>
      </c>
      <c r="J32" s="13" t="s">
        <v>99</v>
      </c>
      <c r="K32" s="13" t="s">
        <v>41</v>
      </c>
      <c r="L32" s="13" t="s">
        <v>211</v>
      </c>
      <c r="M32" s="13" t="s">
        <v>100</v>
      </c>
      <c r="N32" s="13" t="s">
        <v>225</v>
      </c>
      <c r="O32" s="13" t="s">
        <v>176</v>
      </c>
      <c r="P32" s="13" t="s">
        <v>226</v>
      </c>
      <c r="Q32" s="13">
        <v>5</v>
      </c>
      <c r="R32" s="23" t="s">
        <v>677</v>
      </c>
      <c r="S32" s="28" t="s">
        <v>848</v>
      </c>
      <c r="T32" s="28" t="s">
        <v>697</v>
      </c>
      <c r="V32" t="str">
        <f t="shared" si="0"/>
        <v>CE-S4-003 WBSGeneratorAgent Sprint 3 Semana 4 2026-01-21 2026-01-22 2 P0 done AI Gate 5 CE-S4-001 AI Lead WBS 4 niveles contrato requires_approval=True Alto apps/api/src/agents/wbs_generator.py</v>
      </c>
      <c r="W32" t="s">
        <v>738</v>
      </c>
    </row>
    <row r="33" spans="1:23" ht="409.6" x14ac:dyDescent="0.3">
      <c r="A33" s="33" t="s">
        <v>227</v>
      </c>
      <c r="B33" s="13" t="s">
        <v>228</v>
      </c>
      <c r="C33" s="13" t="s">
        <v>19</v>
      </c>
      <c r="D33" s="13" t="s">
        <v>213</v>
      </c>
      <c r="E33" s="13" t="s">
        <v>224</v>
      </c>
      <c r="F33" s="13" t="s">
        <v>229</v>
      </c>
      <c r="G33" s="13">
        <v>2</v>
      </c>
      <c r="H33" s="11" t="s">
        <v>15</v>
      </c>
      <c r="I33" s="13" t="s">
        <v>676</v>
      </c>
      <c r="J33" s="13" t="s">
        <v>99</v>
      </c>
      <c r="K33" s="13" t="s">
        <v>41</v>
      </c>
      <c r="L33" s="13" t="s">
        <v>230</v>
      </c>
      <c r="M33" s="13" t="s">
        <v>100</v>
      </c>
      <c r="N33" s="13" t="s">
        <v>231</v>
      </c>
      <c r="O33" s="13" t="s">
        <v>176</v>
      </c>
      <c r="P33" s="13" t="s">
        <v>232</v>
      </c>
      <c r="Q33" s="13">
        <v>5</v>
      </c>
      <c r="R33" s="23" t="s">
        <v>677</v>
      </c>
      <c r="S33" s="28" t="s">
        <v>849</v>
      </c>
      <c r="V33" t="str">
        <f t="shared" si="0"/>
        <v>CE-S4-004 BOMBuilderAgent Sprint 3 Semana 4 2026-01-22 2026-01-23 2 P0 done AI Gate 5 CE-S4-001;CE-S4-003 AI Lead BOM lead times WBS contract_clause_id populated Alto apps/api/src/agents/bom_builder.py</v>
      </c>
      <c r="W33" t="s">
        <v>739</v>
      </c>
    </row>
    <row r="34" spans="1:23" ht="409.6" x14ac:dyDescent="0.3">
      <c r="A34" s="33" t="s">
        <v>233</v>
      </c>
      <c r="B34" s="13" t="s">
        <v>234</v>
      </c>
      <c r="C34" s="13" t="s">
        <v>19</v>
      </c>
      <c r="D34" s="13" t="s">
        <v>213</v>
      </c>
      <c r="E34" s="13" t="s">
        <v>215</v>
      </c>
      <c r="F34" s="13" t="s">
        <v>235</v>
      </c>
      <c r="G34" s="13">
        <v>4</v>
      </c>
      <c r="H34" s="11" t="s">
        <v>15</v>
      </c>
      <c r="I34" s="13" t="s">
        <v>676</v>
      </c>
      <c r="J34" s="13" t="s">
        <v>99</v>
      </c>
      <c r="K34" s="13" t="s">
        <v>41</v>
      </c>
      <c r="L34" s="13" t="s">
        <v>236</v>
      </c>
      <c r="M34" s="13" t="s">
        <v>100</v>
      </c>
      <c r="N34" s="13" t="s">
        <v>237</v>
      </c>
      <c r="O34" s="13" t="s">
        <v>176</v>
      </c>
      <c r="P34" s="13" t="s">
        <v>238</v>
      </c>
      <c r="Q34" s="13">
        <v>8</v>
      </c>
      <c r="R34" s="23" t="s">
        <v>858</v>
      </c>
      <c r="S34" s="28" t="s">
        <v>850</v>
      </c>
      <c r="T34" s="28" t="s">
        <v>851</v>
      </c>
      <c r="V34" t="str">
        <f t="shared" si="0"/>
        <v>CE-S4-005 Implementar 8 Reglas Coherencia Restantes Sprint 3 Semana 4 2026-01-21 2026-01-24 4 P0 done AI Gate 5 CE-S4-003;CE-S4-004 AI Lead R2/R6/R11/R12/R14/R15/R19/R20 10/10 reglas tests Alto apps/api/src/coherence/rules/</v>
      </c>
      <c r="W34" t="s">
        <v>740</v>
      </c>
    </row>
    <row r="35" spans="1:23" ht="409.6" x14ac:dyDescent="0.3">
      <c r="A35" s="13" t="s">
        <v>239</v>
      </c>
      <c r="B35" s="13" t="s">
        <v>240</v>
      </c>
      <c r="C35" s="13" t="s">
        <v>19</v>
      </c>
      <c r="D35" s="13" t="s">
        <v>213</v>
      </c>
      <c r="E35" s="13" t="s">
        <v>229</v>
      </c>
      <c r="F35" s="13" t="s">
        <v>229</v>
      </c>
      <c r="G35" s="13">
        <v>1</v>
      </c>
      <c r="H35" s="11" t="s">
        <v>15</v>
      </c>
      <c r="I35" s="13" t="s">
        <v>676</v>
      </c>
      <c r="J35" s="13" t="s">
        <v>99</v>
      </c>
      <c r="K35" s="13" t="s">
        <v>41</v>
      </c>
      <c r="L35" s="13" t="s">
        <v>233</v>
      </c>
      <c r="M35" s="13" t="s">
        <v>100</v>
      </c>
      <c r="N35" s="13" t="s">
        <v>241</v>
      </c>
      <c r="O35" s="13" t="s">
        <v>95</v>
      </c>
      <c r="P35" s="13" t="s">
        <v>242</v>
      </c>
      <c r="Q35" s="13">
        <v>2</v>
      </c>
      <c r="R35" s="23" t="s">
        <v>678</v>
      </c>
      <c r="S35" s="28" t="s">
        <v>854</v>
      </c>
      <c r="T35" s="28" t="s">
        <v>855</v>
      </c>
      <c r="V35" t="str">
        <f t="shared" si="0"/>
        <v>CE-S4-006 AlertGenerator con Evidencias Sprint 3 Semana 4 2026-01-23 2026-01-23 1 P0 done AI Gate 5 CE-S4-005 AI Lead Alertas source_clause_id affected_ids evidence_json Medio apps/api/src/coherence/alert_generator.py</v>
      </c>
      <c r="W35" t="s">
        <v>741</v>
      </c>
    </row>
    <row r="36" spans="1:23" ht="409.6" x14ac:dyDescent="0.3">
      <c r="A36" s="13" t="s">
        <v>243</v>
      </c>
      <c r="B36" s="13" t="s">
        <v>244</v>
      </c>
      <c r="C36" s="13" t="s">
        <v>19</v>
      </c>
      <c r="D36" s="13" t="s">
        <v>213</v>
      </c>
      <c r="E36" s="13" t="s">
        <v>235</v>
      </c>
      <c r="F36" s="13" t="s">
        <v>235</v>
      </c>
      <c r="G36" s="13">
        <v>1</v>
      </c>
      <c r="H36" s="11" t="s">
        <v>15</v>
      </c>
      <c r="I36" s="13" t="s">
        <v>676</v>
      </c>
      <c r="J36" s="13" t="s">
        <v>99</v>
      </c>
      <c r="K36" s="13" t="s">
        <v>41</v>
      </c>
      <c r="L36" s="13" t="s">
        <v>245</v>
      </c>
      <c r="M36" s="13" t="s">
        <v>100</v>
      </c>
      <c r="N36" s="13" t="s">
        <v>246</v>
      </c>
      <c r="O36" s="13" t="s">
        <v>176</v>
      </c>
      <c r="P36" s="13" t="s">
        <v>247</v>
      </c>
      <c r="Q36" s="13">
        <v>2</v>
      </c>
      <c r="R36" s="23" t="s">
        <v>678</v>
      </c>
      <c r="S36" s="28" t="s">
        <v>860</v>
      </c>
      <c r="T36" s="28" t="s">
        <v>859</v>
      </c>
      <c r="V36" t="str">
        <f t="shared" si="0"/>
        <v>CE-S4-007 Calibrar Coherence Score 10 Reglas Sprint 3 Semana 4 2026-01-24 2026-01-24 1 P0 done AI Gate 5 CE-S4-005;CE-S2-015 AI Lead Score correlaciona &gt;0.85 evaluación experta Alto scripts/run_calibration.py</v>
      </c>
      <c r="W36" t="s">
        <v>742</v>
      </c>
    </row>
    <row r="37" spans="1:23" ht="409.6" x14ac:dyDescent="0.3">
      <c r="A37" s="13" t="s">
        <v>248</v>
      </c>
      <c r="B37" s="13" t="s">
        <v>249</v>
      </c>
      <c r="C37" s="13" t="s">
        <v>19</v>
      </c>
      <c r="D37" s="13" t="s">
        <v>213</v>
      </c>
      <c r="E37" s="13" t="s">
        <v>235</v>
      </c>
      <c r="F37" s="13" t="s">
        <v>235</v>
      </c>
      <c r="G37" s="13">
        <v>0.5</v>
      </c>
      <c r="H37" s="11" t="s">
        <v>15</v>
      </c>
      <c r="I37" s="13" t="s">
        <v>676</v>
      </c>
      <c r="J37" s="13" t="s">
        <v>250</v>
      </c>
      <c r="K37" s="13" t="s">
        <v>41</v>
      </c>
      <c r="L37" s="13" t="s">
        <v>243</v>
      </c>
      <c r="M37" s="13" t="s">
        <v>100</v>
      </c>
      <c r="N37" s="13" t="s">
        <v>251</v>
      </c>
      <c r="O37" s="13" t="s">
        <v>79</v>
      </c>
      <c r="P37" s="13" t="s">
        <v>252</v>
      </c>
      <c r="Q37" s="13">
        <v>1</v>
      </c>
      <c r="R37" s="23" t="s">
        <v>678</v>
      </c>
      <c r="S37" s="28" t="s">
        <v>861</v>
      </c>
      <c r="V37" t="str">
        <f t="shared" si="0"/>
        <v>CE-S4-008 Documentar Fórmula Score Auditoría Sprint 3 Semana 4 2026-01-24 2026-01-24 0,5 P0 done Documentation Gate 5 CE-S4-007 AI Lead scoring_methodology_v1.md pesos finales CTO aprueba Bajo docs/coherence_engine/scoring_methodology_v1.md</v>
      </c>
      <c r="W37" t="s">
        <v>743</v>
      </c>
    </row>
    <row r="38" spans="1:23" ht="409.6" x14ac:dyDescent="0.3">
      <c r="A38" s="13" t="s">
        <v>253</v>
      </c>
      <c r="B38" s="13" t="s">
        <v>254</v>
      </c>
      <c r="C38" s="13" t="s">
        <v>19</v>
      </c>
      <c r="D38" s="13" t="s">
        <v>213</v>
      </c>
      <c r="E38" s="13" t="s">
        <v>224</v>
      </c>
      <c r="F38" s="13" t="s">
        <v>224</v>
      </c>
      <c r="G38" s="13">
        <v>1</v>
      </c>
      <c r="H38" s="11" t="s">
        <v>15</v>
      </c>
      <c r="I38" s="13" t="s">
        <v>676</v>
      </c>
      <c r="J38" s="13" t="s">
        <v>188</v>
      </c>
      <c r="K38" s="13" t="s">
        <v>38</v>
      </c>
      <c r="L38" s="13" t="s">
        <v>69</v>
      </c>
      <c r="M38" s="13" t="s">
        <v>77</v>
      </c>
      <c r="N38" s="13" t="s">
        <v>255</v>
      </c>
      <c r="O38" s="13" t="s">
        <v>79</v>
      </c>
      <c r="P38" s="13" t="s">
        <v>256</v>
      </c>
      <c r="Q38" s="13">
        <v>2</v>
      </c>
      <c r="R38" s="24" t="s">
        <v>677</v>
      </c>
      <c r="S38" s="28" t="s">
        <v>843</v>
      </c>
      <c r="V38" t="str">
        <f t="shared" si="0"/>
        <v>CE-S4-009 Endpoints /projects/{id}/alerts Sprint 3 Semana 4 2026-01-22 2026-01-22 1 P0 done API Gate 4 CE-S2-001 Backend Lead List filtros/Get/Resolve incluye source_clause_id Bajo apps/api/src/routers/alerts.py</v>
      </c>
      <c r="W38" t="s">
        <v>744</v>
      </c>
    </row>
    <row r="39" spans="1:23" ht="409.6" x14ac:dyDescent="0.3">
      <c r="A39" s="13" t="s">
        <v>257</v>
      </c>
      <c r="B39" s="13" t="s">
        <v>258</v>
      </c>
      <c r="C39" s="13" t="s">
        <v>19</v>
      </c>
      <c r="D39" s="13" t="s">
        <v>213</v>
      </c>
      <c r="E39" s="13" t="s">
        <v>224</v>
      </c>
      <c r="F39" s="13" t="s">
        <v>224</v>
      </c>
      <c r="G39" s="13">
        <v>1</v>
      </c>
      <c r="H39" s="11" t="s">
        <v>15</v>
      </c>
      <c r="I39" s="13" t="s">
        <v>676</v>
      </c>
      <c r="J39" s="13" t="s">
        <v>188</v>
      </c>
      <c r="K39" s="13"/>
      <c r="L39" s="13" t="s">
        <v>259</v>
      </c>
      <c r="M39" s="13" t="s">
        <v>77</v>
      </c>
      <c r="N39" s="13" t="s">
        <v>260</v>
      </c>
      <c r="O39" s="13" t="s">
        <v>79</v>
      </c>
      <c r="P39" s="13" t="s">
        <v>261</v>
      </c>
      <c r="Q39" s="13">
        <v>2</v>
      </c>
      <c r="R39" s="24" t="s">
        <v>852</v>
      </c>
      <c r="S39" s="28" t="s">
        <v>798</v>
      </c>
      <c r="T39" s="35" t="s">
        <v>856</v>
      </c>
      <c r="V39" t="str">
        <f t="shared" si="0"/>
        <v>CE-S4-010 Endpoints /projects/{id}/documents Sprint 3 Semana 4 2026-01-22 2026-01-22 1 P0 done API  CE-S2-001;CE-S3-006 Backend Lead Upload async status polling List/Get/Delete Bajo apps/api/src/routers/documents.py</v>
      </c>
      <c r="W39" t="s">
        <v>745</v>
      </c>
    </row>
    <row r="40" spans="1:23" ht="409.6" x14ac:dyDescent="0.3">
      <c r="A40" s="13" t="s">
        <v>262</v>
      </c>
      <c r="B40" s="13" t="s">
        <v>263</v>
      </c>
      <c r="C40" s="13" t="s">
        <v>19</v>
      </c>
      <c r="D40" s="13" t="s">
        <v>213</v>
      </c>
      <c r="E40" s="13" t="s">
        <v>215</v>
      </c>
      <c r="F40" s="13" t="s">
        <v>215</v>
      </c>
      <c r="G40" s="13">
        <v>1</v>
      </c>
      <c r="H40" s="11" t="s">
        <v>15</v>
      </c>
      <c r="I40" s="13" t="s">
        <v>676</v>
      </c>
      <c r="J40" s="13" t="s">
        <v>93</v>
      </c>
      <c r="K40" s="13"/>
      <c r="L40" s="13" t="s">
        <v>76</v>
      </c>
      <c r="M40" s="13" t="s">
        <v>93</v>
      </c>
      <c r="N40" s="13" t="s">
        <v>264</v>
      </c>
      <c r="O40" s="13" t="s">
        <v>95</v>
      </c>
      <c r="P40" s="13" t="s">
        <v>265</v>
      </c>
      <c r="Q40" s="13">
        <v>2</v>
      </c>
      <c r="R40" s="32" t="s">
        <v>677</v>
      </c>
      <c r="S40" s="28" t="s">
        <v>799</v>
      </c>
      <c r="V40" t="str">
        <f t="shared" si="0"/>
        <v>CE-S4-011 Script Rollback Automatizado Sprint 3 Semana 4 2026-01-21 2026-01-21 1 P0 done DevOps  Ninguna DevOps Rollback DB PITR + código git revert staging Medio scripts/rollback.sh</v>
      </c>
      <c r="W40" t="s">
        <v>746</v>
      </c>
    </row>
    <row r="41" spans="1:23" ht="409.6" x14ac:dyDescent="0.3">
      <c r="A41" s="13" t="s">
        <v>266</v>
      </c>
      <c r="B41" s="13" t="s">
        <v>267</v>
      </c>
      <c r="C41" s="13" t="s">
        <v>19</v>
      </c>
      <c r="D41" s="13" t="s">
        <v>213</v>
      </c>
      <c r="E41" s="13" t="s">
        <v>229</v>
      </c>
      <c r="F41" s="13" t="s">
        <v>229</v>
      </c>
      <c r="G41" s="13">
        <v>1</v>
      </c>
      <c r="H41" s="11" t="s">
        <v>15</v>
      </c>
      <c r="I41" s="13" t="s">
        <v>676</v>
      </c>
      <c r="J41" s="13" t="s">
        <v>188</v>
      </c>
      <c r="K41" s="13"/>
      <c r="L41" s="13" t="s">
        <v>191</v>
      </c>
      <c r="M41" s="13" t="s">
        <v>77</v>
      </c>
      <c r="N41" s="13" t="s">
        <v>268</v>
      </c>
      <c r="O41" s="13" t="s">
        <v>79</v>
      </c>
      <c r="P41" s="13" t="s">
        <v>269</v>
      </c>
      <c r="Q41" s="13">
        <v>2</v>
      </c>
      <c r="R41" s="32" t="s">
        <v>677</v>
      </c>
      <c r="S41" s="28" t="s">
        <v>800</v>
      </c>
      <c r="V41" t="str">
        <f t="shared" si="0"/>
        <v>CE-S4-012 Paginación Cursor-based Endpoints Sprint 3 Semana 4 2026-01-23 2026-01-23 1 P0 done API  CE-S3-008 Backend Lead Ningún endpoint &gt;100 items sin paginar Bajo apps/api/src/core/pagination.py</v>
      </c>
      <c r="W41" t="s">
        <v>747</v>
      </c>
    </row>
    <row r="42" spans="1:23" ht="409.6" x14ac:dyDescent="0.3">
      <c r="A42" s="13" t="s">
        <v>270</v>
      </c>
      <c r="B42" s="13" t="s">
        <v>271</v>
      </c>
      <c r="C42" s="13" t="s">
        <v>19</v>
      </c>
      <c r="D42" s="13" t="s">
        <v>213</v>
      </c>
      <c r="E42" s="13" t="s">
        <v>235</v>
      </c>
      <c r="F42" s="13" t="s">
        <v>235</v>
      </c>
      <c r="G42" s="13">
        <v>1</v>
      </c>
      <c r="H42" s="12" t="s">
        <v>16</v>
      </c>
      <c r="I42" s="13" t="s">
        <v>676</v>
      </c>
      <c r="J42" s="13" t="s">
        <v>140</v>
      </c>
      <c r="K42" s="13"/>
      <c r="L42" s="13" t="s">
        <v>76</v>
      </c>
      <c r="M42" s="13" t="s">
        <v>77</v>
      </c>
      <c r="N42" s="13" t="s">
        <v>272</v>
      </c>
      <c r="O42" s="13" t="s">
        <v>95</v>
      </c>
      <c r="P42" s="13" t="s">
        <v>273</v>
      </c>
      <c r="Q42" s="13">
        <v>2</v>
      </c>
      <c r="R42" s="32" t="s">
        <v>677</v>
      </c>
      <c r="S42" s="28" t="s">
        <v>801</v>
      </c>
      <c r="V42" t="str">
        <f t="shared" si="0"/>
        <v>CE-S4-013 Optimizar Queries SQL EXPLAIN Sprint 3 Semana 4 2026-01-24 2026-01-24 1 P1 done Performance  Ninguna Backend Lead Queries lentas optimizadas 0 queries &gt;100ms Medio docs/performance/sql_optimization.md</v>
      </c>
      <c r="W42" t="s">
        <v>748</v>
      </c>
    </row>
    <row r="43" spans="1:23" ht="409.6" x14ac:dyDescent="0.3">
      <c r="A43" s="13" t="s">
        <v>274</v>
      </c>
      <c r="B43" s="13" t="s">
        <v>275</v>
      </c>
      <c r="C43" s="13" t="s">
        <v>19</v>
      </c>
      <c r="D43" s="13" t="s">
        <v>213</v>
      </c>
      <c r="E43" s="13" t="s">
        <v>235</v>
      </c>
      <c r="F43" s="13" t="s">
        <v>235</v>
      </c>
      <c r="G43" s="13">
        <v>0.5</v>
      </c>
      <c r="H43" s="12" t="s">
        <v>16</v>
      </c>
      <c r="I43" s="13" t="s">
        <v>676</v>
      </c>
      <c r="J43" s="13" t="s">
        <v>276</v>
      </c>
      <c r="K43" s="13"/>
      <c r="L43" s="13" t="s">
        <v>270</v>
      </c>
      <c r="M43" s="13" t="s">
        <v>77</v>
      </c>
      <c r="N43" s="13" t="s">
        <v>277</v>
      </c>
      <c r="O43" s="13" t="s">
        <v>79</v>
      </c>
      <c r="P43" s="13" t="s">
        <v>278</v>
      </c>
      <c r="Q43" s="13">
        <v>1</v>
      </c>
      <c r="R43" s="34" t="s">
        <v>677</v>
      </c>
      <c r="S43" s="28" t="s">
        <v>802</v>
      </c>
      <c r="V43" t="str">
        <f t="shared" si="0"/>
        <v>CE-S4-014 Índices Adicionales Búsqueda Sprint 3 Semana 4 2026-01-24 2026-01-24 0,5 P1 done Database  CE-S4-013 Backend Lead Índices campos filtro queries búsqueda &lt;50ms Bajo infrastructure/supabase/migrations/007_indexes.sql</v>
      </c>
      <c r="W43" t="s">
        <v>749</v>
      </c>
    </row>
    <row r="44" spans="1:23" ht="409.6" x14ac:dyDescent="0.3">
      <c r="A44" s="13" t="s">
        <v>279</v>
      </c>
      <c r="B44" s="13" t="s">
        <v>280</v>
      </c>
      <c r="C44" s="13" t="s">
        <v>19</v>
      </c>
      <c r="D44" s="13" t="s">
        <v>213</v>
      </c>
      <c r="E44" s="13" t="s">
        <v>235</v>
      </c>
      <c r="F44" s="13" t="s">
        <v>235</v>
      </c>
      <c r="G44" s="13">
        <v>1</v>
      </c>
      <c r="H44" s="11" t="s">
        <v>15</v>
      </c>
      <c r="I44" s="13" t="s">
        <v>676</v>
      </c>
      <c r="J44" s="13" t="s">
        <v>145</v>
      </c>
      <c r="K44" s="13" t="s">
        <v>41</v>
      </c>
      <c r="L44" s="13" t="s">
        <v>245</v>
      </c>
      <c r="M44" s="13" t="s">
        <v>146</v>
      </c>
      <c r="N44" s="13" t="s">
        <v>281</v>
      </c>
      <c r="O44" s="13" t="s">
        <v>95</v>
      </c>
      <c r="P44" s="13" t="s">
        <v>282</v>
      </c>
      <c r="Q44" s="13">
        <v>2</v>
      </c>
      <c r="R44" s="34" t="s">
        <v>678</v>
      </c>
      <c r="S44" s="28" t="s">
        <v>857</v>
      </c>
      <c r="V44" t="str">
        <f t="shared" si="0"/>
        <v>CE-S4-015 Tests Integración Coherence Engine Sprint 3 Semana 4 2026-01-24 2026-01-24 1 P0 done Testing Gate 5 CE-S4-005;CE-S2-015 QA Lead Tests proyectos golden 10 reglas correctas Medio tests/integration/coherence/</v>
      </c>
      <c r="W44" t="s">
        <v>750</v>
      </c>
    </row>
    <row r="45" spans="1:23" ht="409.6" x14ac:dyDescent="0.3">
      <c r="A45" s="13"/>
      <c r="B45" s="13"/>
      <c r="C45" s="13"/>
      <c r="D45" s="13"/>
      <c r="E45" s="13"/>
      <c r="F45" s="13"/>
      <c r="G45" s="13"/>
      <c r="H45" s="11"/>
      <c r="I45" s="13"/>
      <c r="J45" s="13"/>
      <c r="K45" s="13"/>
      <c r="L45" s="13"/>
      <c r="M45" s="13"/>
      <c r="N45" s="13"/>
      <c r="O45" s="13"/>
      <c r="P45" s="13"/>
      <c r="Q45" s="13"/>
      <c r="S45" s="24" t="s">
        <v>804</v>
      </c>
    </row>
    <row r="46" spans="1:23" ht="409.6" x14ac:dyDescent="0.3">
      <c r="A46" s="13"/>
      <c r="B46" s="13"/>
      <c r="C46" s="13"/>
      <c r="D46" s="13"/>
      <c r="E46" s="13"/>
      <c r="F46" s="13"/>
      <c r="G46" s="13"/>
      <c r="H46" s="11"/>
      <c r="I46" s="13"/>
      <c r="J46" s="13"/>
      <c r="K46" s="13"/>
      <c r="L46" s="13"/>
      <c r="M46" s="13"/>
      <c r="N46" s="13"/>
      <c r="O46" s="13"/>
      <c r="P46" s="13"/>
      <c r="Q46" s="13"/>
      <c r="S46" s="24" t="s">
        <v>805</v>
      </c>
    </row>
    <row r="47" spans="1:23" ht="409.6" x14ac:dyDescent="0.3">
      <c r="A47" s="13"/>
      <c r="B47" s="13"/>
      <c r="C47" s="13"/>
      <c r="D47" s="13"/>
      <c r="E47" s="13"/>
      <c r="F47" s="13"/>
      <c r="G47" s="13"/>
      <c r="H47" s="11"/>
      <c r="I47" s="13"/>
      <c r="J47" s="13"/>
      <c r="K47" s="13"/>
      <c r="L47" s="13"/>
      <c r="M47" s="13"/>
      <c r="N47" s="13"/>
      <c r="O47" s="13"/>
      <c r="P47" s="13"/>
      <c r="Q47" s="13"/>
      <c r="S47" s="24" t="s">
        <v>806</v>
      </c>
    </row>
    <row r="48" spans="1:23" ht="409.6" x14ac:dyDescent="0.3">
      <c r="A48" s="13"/>
      <c r="B48" s="13"/>
      <c r="C48" s="13"/>
      <c r="D48" s="13"/>
      <c r="E48" s="13"/>
      <c r="F48" s="13"/>
      <c r="G48" s="13"/>
      <c r="H48" s="11"/>
      <c r="I48" s="13"/>
      <c r="J48" s="13"/>
      <c r="K48" s="13"/>
      <c r="L48" s="13"/>
      <c r="M48" s="13"/>
      <c r="N48" s="13"/>
      <c r="O48" s="13"/>
      <c r="P48" s="13"/>
      <c r="Q48" s="13"/>
      <c r="S48" s="24" t="s">
        <v>807</v>
      </c>
    </row>
    <row r="49" spans="1:23" ht="409.6" x14ac:dyDescent="0.3">
      <c r="A49" s="13"/>
      <c r="B49" s="13"/>
      <c r="C49" s="13"/>
      <c r="D49" s="13"/>
      <c r="E49" s="13"/>
      <c r="F49" s="13"/>
      <c r="G49" s="13"/>
      <c r="H49" s="11"/>
      <c r="I49" s="13"/>
      <c r="J49" s="13"/>
      <c r="K49" s="13"/>
      <c r="L49" s="13"/>
      <c r="M49" s="13"/>
      <c r="N49" s="13"/>
      <c r="O49" s="13"/>
      <c r="P49" s="13"/>
      <c r="Q49" s="13"/>
      <c r="S49" s="24" t="s">
        <v>808</v>
      </c>
    </row>
    <row r="50" spans="1:23" ht="409.6" x14ac:dyDescent="0.3">
      <c r="A50" s="13"/>
      <c r="B50" s="13"/>
      <c r="C50" s="13"/>
      <c r="D50" s="13"/>
      <c r="E50" s="13"/>
      <c r="F50" s="13"/>
      <c r="G50" s="13"/>
      <c r="H50" s="11"/>
      <c r="I50" s="13"/>
      <c r="J50" s="13"/>
      <c r="K50" s="13"/>
      <c r="L50" s="13"/>
      <c r="M50" s="13"/>
      <c r="N50" s="13"/>
      <c r="O50" s="13"/>
      <c r="P50" s="13"/>
      <c r="Q50" s="13"/>
      <c r="S50" s="24" t="s">
        <v>809</v>
      </c>
    </row>
    <row r="51" spans="1:23" ht="409.6" x14ac:dyDescent="0.3">
      <c r="A51" s="13"/>
      <c r="B51" s="13"/>
      <c r="C51" s="13"/>
      <c r="D51" s="13"/>
      <c r="E51" s="13"/>
      <c r="F51" s="13"/>
      <c r="G51" s="13"/>
      <c r="H51" s="11"/>
      <c r="I51" s="13"/>
      <c r="J51" s="13"/>
      <c r="K51" s="13"/>
      <c r="L51" s="13"/>
      <c r="M51" s="13"/>
      <c r="N51" s="13"/>
      <c r="O51" s="13"/>
      <c r="P51" s="13"/>
      <c r="Q51" s="13"/>
      <c r="S51" s="24" t="s">
        <v>810</v>
      </c>
    </row>
    <row r="52" spans="1:23" ht="409.6" x14ac:dyDescent="0.3">
      <c r="A52" s="13"/>
      <c r="B52" s="13"/>
      <c r="C52" s="13"/>
      <c r="D52" s="13"/>
      <c r="E52" s="13"/>
      <c r="F52" s="13"/>
      <c r="G52" s="13"/>
      <c r="H52" s="11"/>
      <c r="I52" s="13"/>
      <c r="J52" s="13"/>
      <c r="K52" s="13"/>
      <c r="L52" s="13"/>
      <c r="M52" s="13"/>
      <c r="N52" s="13"/>
      <c r="O52" s="13"/>
      <c r="P52" s="13"/>
      <c r="Q52" s="13"/>
      <c r="S52" s="24" t="s">
        <v>811</v>
      </c>
    </row>
    <row r="53" spans="1:23" ht="409.6" x14ac:dyDescent="0.3">
      <c r="A53" s="14" t="s">
        <v>283</v>
      </c>
      <c r="B53" s="14" t="s">
        <v>284</v>
      </c>
      <c r="C53" s="14" t="s">
        <v>20</v>
      </c>
      <c r="D53" s="14" t="s">
        <v>285</v>
      </c>
      <c r="E53" s="14" t="s">
        <v>286</v>
      </c>
      <c r="F53" s="14" t="s">
        <v>287</v>
      </c>
      <c r="G53" s="14">
        <v>3</v>
      </c>
      <c r="H53" s="11" t="s">
        <v>15</v>
      </c>
      <c r="I53" s="14" t="s">
        <v>676</v>
      </c>
      <c r="J53" s="14" t="s">
        <v>99</v>
      </c>
      <c r="K53" s="14" t="s">
        <v>41</v>
      </c>
      <c r="L53" s="14" t="s">
        <v>211</v>
      </c>
      <c r="M53" s="14" t="s">
        <v>100</v>
      </c>
      <c r="N53" s="14" t="s">
        <v>288</v>
      </c>
      <c r="O53" s="14" t="s">
        <v>176</v>
      </c>
      <c r="P53" s="14" t="s">
        <v>289</v>
      </c>
      <c r="Q53" s="14">
        <v>5</v>
      </c>
      <c r="R53" s="36" t="s">
        <v>678</v>
      </c>
      <c r="S53" s="28" t="s">
        <v>853</v>
      </c>
      <c r="T53" s="28" t="s">
        <v>803</v>
      </c>
      <c r="U53" s="28" t="s">
        <v>862</v>
      </c>
      <c r="V53" t="str">
        <f t="shared" si="0"/>
        <v>CE-S5-001 StakeholderExtractorAgent Sprint 4 Semana 5 2026-01-27 2026-01-29 3 P0 done AI Gate 5 CE-S4-001 AI Lead Extracción NLP nombres/roles &gt;80% accuracy golden Alto apps/api/src/agents/stakeholder_extractor.py</v>
      </c>
      <c r="W53" t="s">
        <v>751</v>
      </c>
    </row>
    <row r="54" spans="1:23" ht="409.6" x14ac:dyDescent="0.3">
      <c r="A54" s="14" t="s">
        <v>290</v>
      </c>
      <c r="B54" s="14" t="s">
        <v>291</v>
      </c>
      <c r="C54" s="14" t="s">
        <v>20</v>
      </c>
      <c r="D54" s="14" t="s">
        <v>285</v>
      </c>
      <c r="E54" s="14" t="s">
        <v>292</v>
      </c>
      <c r="F54" s="14" t="s">
        <v>292</v>
      </c>
      <c r="G54" s="14">
        <v>1</v>
      </c>
      <c r="H54" s="11" t="s">
        <v>15</v>
      </c>
      <c r="I54" s="14" t="s">
        <v>676</v>
      </c>
      <c r="J54" s="14" t="s">
        <v>99</v>
      </c>
      <c r="K54" s="14" t="s">
        <v>41</v>
      </c>
      <c r="L54" s="14" t="s">
        <v>283</v>
      </c>
      <c r="M54" s="14" t="s">
        <v>100</v>
      </c>
      <c r="N54" s="14" t="s">
        <v>293</v>
      </c>
      <c r="O54" s="14" t="s">
        <v>95</v>
      </c>
      <c r="P54" s="14" t="s">
        <v>294</v>
      </c>
      <c r="Q54" s="14">
        <v>2</v>
      </c>
      <c r="R54" s="36" t="s">
        <v>678</v>
      </c>
      <c r="S54" s="28" t="s">
        <v>812</v>
      </c>
      <c r="V54" t="str">
        <f t="shared" si="0"/>
        <v>CE-S5-002 StakeholderClassifier Power/Interest Sprint 4 Semana 5 2026-01-28 2026-01-28 1 P0 done AI Gate 5 CE-S5-001 AI Lead Cuadrante asignado automáticamente 4 cuadrantes Medio apps/api/src/services/stakeholder_classifier.py</v>
      </c>
      <c r="W54" t="s">
        <v>752</v>
      </c>
    </row>
    <row r="55" spans="1:23" ht="409.6" x14ac:dyDescent="0.3">
      <c r="A55" s="14" t="s">
        <v>295</v>
      </c>
      <c r="B55" s="14" t="s">
        <v>296</v>
      </c>
      <c r="C55" s="14" t="s">
        <v>20</v>
      </c>
      <c r="D55" s="14" t="s">
        <v>285</v>
      </c>
      <c r="E55" s="14" t="s">
        <v>287</v>
      </c>
      <c r="F55" s="14" t="s">
        <v>297</v>
      </c>
      <c r="G55" s="14">
        <v>2</v>
      </c>
      <c r="H55" s="11" t="s">
        <v>15</v>
      </c>
      <c r="I55" s="14" t="s">
        <v>676</v>
      </c>
      <c r="J55" s="14" t="s">
        <v>99</v>
      </c>
      <c r="K55" s="14" t="s">
        <v>45</v>
      </c>
      <c r="L55" s="14" t="s">
        <v>298</v>
      </c>
      <c r="M55" s="14" t="s">
        <v>100</v>
      </c>
      <c r="N55" s="14" t="s">
        <v>299</v>
      </c>
      <c r="O55" s="14" t="s">
        <v>176</v>
      </c>
      <c r="P55" s="14" t="s">
        <v>300</v>
      </c>
      <c r="Q55" s="14">
        <v>5</v>
      </c>
      <c r="S55" s="28" t="s">
        <v>863</v>
      </c>
      <c r="V55" t="str">
        <f t="shared" si="0"/>
        <v>CE-S5-003 RACIGeneratorAgent Sprint 4 Semana 5 2026-01-29 2026-01-30 2 P0 done AI Gate 6 CE-S5-001;CE-S4-003 AI Lead Matriz RACI generada requires_review=True Alto apps/api/src/agents/raci_generator.py</v>
      </c>
      <c r="W55" t="s">
        <v>753</v>
      </c>
    </row>
    <row r="56" spans="1:23" ht="409.6" x14ac:dyDescent="0.3">
      <c r="A56" s="14"/>
      <c r="B56" s="14"/>
      <c r="C56" s="14"/>
      <c r="D56" s="14"/>
      <c r="E56" s="14"/>
      <c r="F56" s="14"/>
      <c r="G56" s="14"/>
      <c r="H56" s="11"/>
      <c r="I56" s="14" t="s">
        <v>676</v>
      </c>
      <c r="J56" s="14"/>
      <c r="K56" s="14"/>
      <c r="L56" s="14"/>
      <c r="M56" s="14"/>
      <c r="N56" s="14"/>
      <c r="O56" s="14"/>
      <c r="P56" s="14"/>
      <c r="Q56" s="14"/>
      <c r="R56" t="s">
        <v>678</v>
      </c>
      <c r="S56" s="28" t="s">
        <v>864</v>
      </c>
    </row>
    <row r="57" spans="1:23" ht="409.6" x14ac:dyDescent="0.3">
      <c r="A57" s="14"/>
      <c r="B57" s="14"/>
      <c r="C57" s="14"/>
      <c r="D57" s="14"/>
      <c r="E57" s="14"/>
      <c r="F57" s="14"/>
      <c r="G57" s="14"/>
      <c r="H57" s="11"/>
      <c r="I57" s="14" t="s">
        <v>676</v>
      </c>
      <c r="J57" s="14"/>
      <c r="K57" s="14"/>
      <c r="L57" s="14"/>
      <c r="M57" s="14"/>
      <c r="N57" s="14"/>
      <c r="O57" s="14"/>
      <c r="P57" s="14"/>
      <c r="Q57" s="14"/>
      <c r="R57" s="28" t="s">
        <v>820</v>
      </c>
    </row>
    <row r="58" spans="1:23" ht="409.6" x14ac:dyDescent="0.3">
      <c r="A58" s="14"/>
      <c r="B58" s="14"/>
      <c r="C58" s="14"/>
      <c r="D58" s="14"/>
      <c r="E58" s="14"/>
      <c r="F58" s="14"/>
      <c r="G58" s="14"/>
      <c r="H58" s="11"/>
      <c r="I58" s="14" t="s">
        <v>676</v>
      </c>
      <c r="J58" s="14"/>
      <c r="K58" s="14"/>
      <c r="L58" s="14"/>
      <c r="M58" s="14"/>
      <c r="N58" s="14"/>
      <c r="O58" s="14"/>
      <c r="P58" s="14"/>
      <c r="Q58" s="14"/>
      <c r="R58" s="28" t="s">
        <v>821</v>
      </c>
    </row>
    <row r="59" spans="1:23" ht="409.6" x14ac:dyDescent="0.3">
      <c r="A59" s="14"/>
      <c r="B59" s="14"/>
      <c r="C59" s="14"/>
      <c r="D59" s="14"/>
      <c r="E59" s="14"/>
      <c r="F59" s="14"/>
      <c r="G59" s="14"/>
      <c r="H59" s="11"/>
      <c r="I59" s="14"/>
      <c r="J59" s="14"/>
      <c r="K59" s="14"/>
      <c r="L59" s="14"/>
      <c r="M59" s="14"/>
      <c r="N59" s="14"/>
      <c r="O59" s="14"/>
      <c r="P59" s="31" t="s">
        <v>823</v>
      </c>
      <c r="Q59" s="14"/>
      <c r="R59" s="27" t="s">
        <v>822</v>
      </c>
      <c r="S59" s="27" t="s">
        <v>831</v>
      </c>
    </row>
    <row r="60" spans="1:23" ht="409.6" x14ac:dyDescent="0.3">
      <c r="A60" s="14"/>
      <c r="B60" s="14"/>
      <c r="C60" s="14"/>
      <c r="D60" s="14"/>
      <c r="E60" s="14"/>
      <c r="F60" s="14"/>
      <c r="G60" s="14"/>
      <c r="H60" s="11"/>
      <c r="I60" s="14" t="s">
        <v>679</v>
      </c>
      <c r="J60" s="14"/>
      <c r="K60" s="14"/>
      <c r="L60" s="14"/>
      <c r="M60" s="14"/>
      <c r="N60" s="14"/>
      <c r="O60" s="14"/>
      <c r="P60" s="14"/>
      <c r="Q60" s="14"/>
      <c r="R60" t="s">
        <v>678</v>
      </c>
      <c r="S60" s="28" t="s">
        <v>824</v>
      </c>
    </row>
    <row r="61" spans="1:23" ht="409.6" x14ac:dyDescent="0.3">
      <c r="A61" s="14"/>
      <c r="B61" s="14"/>
      <c r="C61" s="14"/>
      <c r="D61" s="14"/>
      <c r="E61" s="14"/>
      <c r="F61" s="14"/>
      <c r="G61" s="14"/>
      <c r="H61" s="11"/>
      <c r="I61" s="14" t="s">
        <v>676</v>
      </c>
      <c r="J61" s="14"/>
      <c r="K61" s="14"/>
      <c r="L61" s="14"/>
      <c r="M61" s="14"/>
      <c r="N61" s="14"/>
      <c r="O61" s="14"/>
      <c r="P61" s="14"/>
      <c r="Q61" s="14"/>
      <c r="R61" s="28" t="s">
        <v>825</v>
      </c>
    </row>
    <row r="62" spans="1:23" ht="409.6" x14ac:dyDescent="0.3">
      <c r="A62" s="14"/>
      <c r="B62" s="14"/>
      <c r="C62" s="14"/>
      <c r="D62" s="14"/>
      <c r="E62" s="14"/>
      <c r="F62" s="14"/>
      <c r="G62" s="14"/>
      <c r="H62" s="11"/>
      <c r="I62" s="14"/>
      <c r="J62" s="14"/>
      <c r="K62" s="14"/>
      <c r="L62" s="14"/>
      <c r="M62" s="14"/>
      <c r="N62" s="14"/>
      <c r="O62" s="14"/>
      <c r="P62" s="14"/>
      <c r="Q62" s="14"/>
      <c r="R62" s="24" t="s">
        <v>826</v>
      </c>
    </row>
    <row r="63" spans="1:23" ht="409.6" x14ac:dyDescent="0.3">
      <c r="A63" s="14"/>
      <c r="B63" s="14"/>
      <c r="C63" s="14"/>
      <c r="D63" s="14"/>
      <c r="E63" s="14"/>
      <c r="F63" s="14"/>
      <c r="G63" s="14"/>
      <c r="H63" s="11"/>
      <c r="I63" s="14"/>
      <c r="J63" s="14"/>
      <c r="K63" s="14"/>
      <c r="L63" s="14"/>
      <c r="M63" s="14"/>
      <c r="N63" s="14"/>
      <c r="O63" s="14"/>
      <c r="P63" s="14"/>
      <c r="Q63" s="14"/>
      <c r="R63" s="24" t="s">
        <v>827</v>
      </c>
    </row>
    <row r="64" spans="1:23" ht="409.6" x14ac:dyDescent="0.3">
      <c r="A64" s="14"/>
      <c r="B64" s="14"/>
      <c r="C64" s="14"/>
      <c r="D64" s="14"/>
      <c r="E64" s="14"/>
      <c r="F64" s="14"/>
      <c r="G64" s="14"/>
      <c r="H64" s="11"/>
      <c r="I64" s="14"/>
      <c r="J64" s="14"/>
      <c r="K64" s="14"/>
      <c r="L64" s="14"/>
      <c r="M64" s="14"/>
      <c r="N64" s="14"/>
      <c r="O64" s="14"/>
      <c r="P64" s="14"/>
      <c r="Q64" s="14"/>
      <c r="R64" s="24" t="s">
        <v>830</v>
      </c>
    </row>
    <row r="65" spans="1:23" ht="409.6" x14ac:dyDescent="0.3">
      <c r="A65" s="14" t="s">
        <v>301</v>
      </c>
      <c r="B65" s="14" t="s">
        <v>302</v>
      </c>
      <c r="C65" s="14" t="s">
        <v>20</v>
      </c>
      <c r="D65" s="14" t="s">
        <v>285</v>
      </c>
      <c r="E65" s="14" t="s">
        <v>286</v>
      </c>
      <c r="F65" s="14" t="s">
        <v>292</v>
      </c>
      <c r="G65" s="14">
        <v>2</v>
      </c>
      <c r="H65" s="11" t="s">
        <v>15</v>
      </c>
      <c r="I65" s="14" t="s">
        <v>676</v>
      </c>
      <c r="J65" s="14" t="s">
        <v>75</v>
      </c>
      <c r="K65" s="14" t="s">
        <v>45</v>
      </c>
      <c r="L65" s="14" t="s">
        <v>69</v>
      </c>
      <c r="M65" s="14" t="s">
        <v>77</v>
      </c>
      <c r="N65" s="14" t="s">
        <v>303</v>
      </c>
      <c r="O65" s="14" t="s">
        <v>176</v>
      </c>
      <c r="P65" s="14" t="s">
        <v>304</v>
      </c>
      <c r="Q65" s="14">
        <v>3</v>
      </c>
      <c r="R65" s="24" t="s">
        <v>678</v>
      </c>
      <c r="S65" s="28" t="s">
        <v>813</v>
      </c>
      <c r="V65" t="str">
        <f t="shared" si="0"/>
        <v>CE-S5-004 Human-in-Loop Workflow Backend Sprint 4 Semana 5 2026-01-27 2026-01-28 2 P0 done Backend Gate 6 CE-S2-001 Backend Lead Endpoint aprobar/rechazar outputs agentes Alto apps/api/src/routers/approvals.py</v>
      </c>
      <c r="W65" t="s">
        <v>754</v>
      </c>
    </row>
    <row r="66" spans="1:23" ht="409.6" x14ac:dyDescent="0.3">
      <c r="A66" s="14" t="s">
        <v>305</v>
      </c>
      <c r="B66" s="14" t="s">
        <v>306</v>
      </c>
      <c r="C66" s="14" t="s">
        <v>20</v>
      </c>
      <c r="D66" s="14" t="s">
        <v>285</v>
      </c>
      <c r="E66" s="14" t="s">
        <v>297</v>
      </c>
      <c r="F66" s="14" t="s">
        <v>307</v>
      </c>
      <c r="G66" s="14">
        <v>2</v>
      </c>
      <c r="H66" s="12" t="s">
        <v>16</v>
      </c>
      <c r="I66" s="14" t="s">
        <v>676</v>
      </c>
      <c r="J66" s="14" t="s">
        <v>75</v>
      </c>
      <c r="K66" s="14" t="s">
        <v>38</v>
      </c>
      <c r="L66" s="14" t="s">
        <v>222</v>
      </c>
      <c r="M66" s="14" t="s">
        <v>77</v>
      </c>
      <c r="N66" s="14" t="s">
        <v>308</v>
      </c>
      <c r="O66" s="14" t="s">
        <v>95</v>
      </c>
      <c r="P66" s="14" t="s">
        <v>309</v>
      </c>
      <c r="Q66" s="14">
        <v>3</v>
      </c>
      <c r="R66" s="24" t="s">
        <v>678</v>
      </c>
      <c r="S66" s="28" t="s">
        <v>865</v>
      </c>
      <c r="V66" t="str">
        <f t="shared" si="0"/>
        <v>CE-S5-005 Knowledge Graph Básico NetworkX Sprint 4 Semana 5 2026-01-30 2026-01-31 2 P1 done Backend Gate 4 CE-S4-003 Backend Lead Nodos + edges queries multi-hop funcionan Medio apps/api/src/services/knowledge_graph.py</v>
      </c>
      <c r="W66" t="s">
        <v>755</v>
      </c>
    </row>
    <row r="67" spans="1:23" ht="409.6" x14ac:dyDescent="0.3">
      <c r="A67" s="14" t="s">
        <v>310</v>
      </c>
      <c r="B67" s="14" t="s">
        <v>311</v>
      </c>
      <c r="C67" s="14" t="s">
        <v>20</v>
      </c>
      <c r="D67" s="14" t="s">
        <v>285</v>
      </c>
      <c r="E67" s="14" t="s">
        <v>286</v>
      </c>
      <c r="F67" s="14" t="s">
        <v>292</v>
      </c>
      <c r="G67" s="14">
        <v>2</v>
      </c>
      <c r="H67" s="11" t="s">
        <v>15</v>
      </c>
      <c r="I67" s="14" t="s">
        <v>676</v>
      </c>
      <c r="J67" s="14" t="s">
        <v>99</v>
      </c>
      <c r="K67" s="14" t="s">
        <v>41</v>
      </c>
      <c r="L67" s="14" t="s">
        <v>111</v>
      </c>
      <c r="M67" s="14" t="s">
        <v>100</v>
      </c>
      <c r="N67" s="14" t="s">
        <v>312</v>
      </c>
      <c r="O67" s="14" t="s">
        <v>176</v>
      </c>
      <c r="P67" s="14" t="s">
        <v>313</v>
      </c>
      <c r="Q67" s="14">
        <v>3</v>
      </c>
      <c r="R67" s="24" t="s">
        <v>677</v>
      </c>
      <c r="S67" s="28" t="s">
        <v>866</v>
      </c>
      <c r="V67" t="str">
        <f t="shared" si="0"/>
        <v>CE-S5-006 Prompt Extracción Cláusulas Optimizado Sprint 4 Semana 5 2026-01-27 2026-01-28 2 P0 done AI Gate 5 CE-S2-008 AI Lead &gt;85% accuracy tipo/código/texto golden dataset Alto prompts/v1/clause_extraction.md</v>
      </c>
      <c r="W67" t="s">
        <v>756</v>
      </c>
    </row>
    <row r="68" spans="1:23" ht="409.6" x14ac:dyDescent="0.3">
      <c r="A68" s="14" t="s">
        <v>314</v>
      </c>
      <c r="B68" s="14" t="s">
        <v>315</v>
      </c>
      <c r="C68" s="14" t="s">
        <v>20</v>
      </c>
      <c r="D68" s="14" t="s">
        <v>285</v>
      </c>
      <c r="E68" s="14" t="s">
        <v>287</v>
      </c>
      <c r="F68" s="14" t="s">
        <v>287</v>
      </c>
      <c r="G68" s="14">
        <v>1</v>
      </c>
      <c r="H68" s="11" t="s">
        <v>15</v>
      </c>
      <c r="I68" s="14" t="s">
        <v>676</v>
      </c>
      <c r="J68" s="14" t="s">
        <v>99</v>
      </c>
      <c r="K68" s="14" t="s">
        <v>41</v>
      </c>
      <c r="L68" s="14" t="s">
        <v>111</v>
      </c>
      <c r="M68" s="14" t="s">
        <v>100</v>
      </c>
      <c r="N68" s="14" t="s">
        <v>316</v>
      </c>
      <c r="O68" s="14" t="s">
        <v>95</v>
      </c>
      <c r="P68" s="14" t="s">
        <v>317</v>
      </c>
      <c r="Q68" s="14">
        <v>2</v>
      </c>
      <c r="R68" s="24" t="s">
        <v>677</v>
      </c>
      <c r="S68" s="28" t="s">
        <v>867</v>
      </c>
      <c r="T68" s="28" t="s">
        <v>816</v>
      </c>
      <c r="V68" t="str">
        <f t="shared" si="0"/>
        <v>CE-S5-007 Prompt Clasificación Stakeholders Sprint 4 Semana 5 2026-01-29 2026-01-29 1 P0 done AI Gate 5 CE-S2-008 AI Lead &gt;80% accuracy clasificación poder/interés Medio prompts/v1/stakeholder_classification.md</v>
      </c>
      <c r="W68" t="s">
        <v>757</v>
      </c>
    </row>
    <row r="69" spans="1:23" ht="409.6" x14ac:dyDescent="0.3">
      <c r="A69" s="14" t="s">
        <v>318</v>
      </c>
      <c r="B69" s="14" t="s">
        <v>319</v>
      </c>
      <c r="C69" s="14" t="s">
        <v>20</v>
      </c>
      <c r="D69" s="14" t="s">
        <v>285</v>
      </c>
      <c r="E69" s="14" t="s">
        <v>292</v>
      </c>
      <c r="F69" s="14" t="s">
        <v>292</v>
      </c>
      <c r="G69" s="14">
        <v>1</v>
      </c>
      <c r="H69" s="11" t="s">
        <v>15</v>
      </c>
      <c r="I69" s="14" t="s">
        <v>676</v>
      </c>
      <c r="J69" s="14" t="s">
        <v>99</v>
      </c>
      <c r="K69" s="14" t="s">
        <v>41</v>
      </c>
      <c r="L69" s="14" t="s">
        <v>107</v>
      </c>
      <c r="M69" s="14" t="s">
        <v>100</v>
      </c>
      <c r="N69" s="14" t="s">
        <v>320</v>
      </c>
      <c r="O69" s="14" t="s">
        <v>95</v>
      </c>
      <c r="P69" s="14" t="s">
        <v>321</v>
      </c>
      <c r="Q69" s="14">
        <v>2</v>
      </c>
      <c r="R69" s="24" t="s">
        <v>677</v>
      </c>
      <c r="S69" s="28" t="s">
        <v>869</v>
      </c>
      <c r="T69" s="28" t="s">
        <v>818</v>
      </c>
      <c r="U69" s="28" t="s">
        <v>871</v>
      </c>
      <c r="V69" t="str">
        <f t="shared" si="0"/>
        <v>CE-S5-008 LlmRuleEvaluator Base Class Sprint 4 Semana 5 2026-01-28 2026-01-28 1 P0 done AI Gate 5 CE-S2-007 AI Lead Evaluador prompts reglas cualitativas interface Medio apps/api/src/coherence/llm_rule_evaluator.py</v>
      </c>
      <c r="W69" t="s">
        <v>758</v>
      </c>
    </row>
    <row r="70" spans="1:23" ht="409.6" x14ac:dyDescent="0.3">
      <c r="A70" s="14" t="s">
        <v>322</v>
      </c>
      <c r="B70" s="14" t="s">
        <v>323</v>
      </c>
      <c r="C70" s="14" t="s">
        <v>20</v>
      </c>
      <c r="D70" s="14" t="s">
        <v>285</v>
      </c>
      <c r="E70" s="14" t="s">
        <v>287</v>
      </c>
      <c r="F70" s="14" t="s">
        <v>297</v>
      </c>
      <c r="G70" s="14">
        <v>2</v>
      </c>
      <c r="H70" s="12" t="s">
        <v>16</v>
      </c>
      <c r="I70" s="14" t="s">
        <v>676</v>
      </c>
      <c r="J70" s="14" t="s">
        <v>99</v>
      </c>
      <c r="K70" s="14" t="s">
        <v>41</v>
      </c>
      <c r="L70" s="14" t="s">
        <v>318</v>
      </c>
      <c r="M70" s="14" t="s">
        <v>100</v>
      </c>
      <c r="N70" s="14" t="s">
        <v>324</v>
      </c>
      <c r="O70" s="14" t="s">
        <v>176</v>
      </c>
      <c r="P70" s="14" t="s">
        <v>325</v>
      </c>
      <c r="Q70" s="14">
        <v>3</v>
      </c>
      <c r="R70" s="24" t="s">
        <v>677</v>
      </c>
      <c r="S70" s="28" t="s">
        <v>872</v>
      </c>
      <c r="T70" s="28" t="s">
        <v>873</v>
      </c>
      <c r="V70" t="str">
        <f t="shared" si="0"/>
        <v>CE-S5-009 Primera Regla LLM Cualitativa Sprint 4 Semana 5 2026-01-29 2026-01-30 2 P1 done AI Gate 5 CE-S5-008 AI Lead Regla detectar ambigüedades alcance evaluable Alto apps/api/src/coherence/rules/scope_ambiguity.py</v>
      </c>
      <c r="W70" t="s">
        <v>759</v>
      </c>
    </row>
    <row r="71" spans="1:23" ht="409.6" x14ac:dyDescent="0.3">
      <c r="A71" s="14" t="s">
        <v>326</v>
      </c>
      <c r="B71" s="14" t="s">
        <v>327</v>
      </c>
      <c r="C71" s="14" t="s">
        <v>20</v>
      </c>
      <c r="D71" s="14" t="s">
        <v>285</v>
      </c>
      <c r="E71" s="14" t="s">
        <v>292</v>
      </c>
      <c r="F71" s="14" t="s">
        <v>292</v>
      </c>
      <c r="G71" s="14">
        <v>1</v>
      </c>
      <c r="H71" s="11" t="s">
        <v>15</v>
      </c>
      <c r="I71" s="14" t="s">
        <v>676</v>
      </c>
      <c r="J71" s="14" t="s">
        <v>188</v>
      </c>
      <c r="K71" s="14" t="s">
        <v>38</v>
      </c>
      <c r="L71" s="14" t="s">
        <v>85</v>
      </c>
      <c r="M71" s="14" t="s">
        <v>77</v>
      </c>
      <c r="N71" s="14" t="s">
        <v>328</v>
      </c>
      <c r="O71" s="14" t="s">
        <v>79</v>
      </c>
      <c r="P71" s="14" t="s">
        <v>329</v>
      </c>
      <c r="Q71" s="14">
        <v>2</v>
      </c>
      <c r="R71" s="24" t="s">
        <v>678</v>
      </c>
      <c r="S71" s="28" t="s">
        <v>868</v>
      </c>
      <c r="V71" t="str">
        <f t="shared" si="0"/>
        <v>CE-S5-010 Endpoints /projects/{id}/stakeholders Sprint 4 Semana 5 2026-01-28 2026-01-28 1 P0 done API Gate 4 CE-S2-003 Backend Lead CRUD + clasificación source_clause_id Bajo apps/api/src/routers/stakeholders.py</v>
      </c>
      <c r="W71" t="s">
        <v>760</v>
      </c>
    </row>
    <row r="72" spans="1:23" ht="409.6" x14ac:dyDescent="0.3">
      <c r="A72" s="14" t="s">
        <v>330</v>
      </c>
      <c r="B72" s="14" t="s">
        <v>331</v>
      </c>
      <c r="C72" s="14" t="s">
        <v>20</v>
      </c>
      <c r="D72" s="14" t="s">
        <v>285</v>
      </c>
      <c r="E72" s="14" t="s">
        <v>287</v>
      </c>
      <c r="F72" s="14" t="s">
        <v>287</v>
      </c>
      <c r="G72" s="14">
        <v>0.5</v>
      </c>
      <c r="H72" s="11" t="s">
        <v>15</v>
      </c>
      <c r="I72" s="14" t="s">
        <v>676</v>
      </c>
      <c r="J72" s="14" t="s">
        <v>188</v>
      </c>
      <c r="K72" s="14" t="s">
        <v>45</v>
      </c>
      <c r="L72" s="14" t="s">
        <v>85</v>
      </c>
      <c r="M72" s="14" t="s">
        <v>77</v>
      </c>
      <c r="N72" s="14" t="s">
        <v>332</v>
      </c>
      <c r="O72" s="14" t="s">
        <v>79</v>
      </c>
      <c r="P72" s="14" t="s">
        <v>333</v>
      </c>
      <c r="Q72" s="14">
        <v>1</v>
      </c>
      <c r="R72" s="24" t="s">
        <v>678</v>
      </c>
      <c r="S72" s="28" t="s">
        <v>870</v>
      </c>
      <c r="V72" t="str">
        <f t="shared" si="0"/>
        <v>CE-S5-011 Endpoints /projects/{id}/raci Sprint 4 Semana 5 2026-01-29 2026-01-29 0,5 P0 done API Gate 6 CE-S2-003 Backend Lead Get matrix/Update human-in-loop flag Bajo apps/api/src/routers/raci.py</v>
      </c>
      <c r="W72" t="s">
        <v>761</v>
      </c>
    </row>
    <row r="73" spans="1:23" ht="409.6" x14ac:dyDescent="0.3">
      <c r="A73" s="14" t="s">
        <v>334</v>
      </c>
      <c r="B73" s="14" t="s">
        <v>335</v>
      </c>
      <c r="C73" s="14" t="s">
        <v>20</v>
      </c>
      <c r="D73" s="14" t="s">
        <v>285</v>
      </c>
      <c r="E73" s="14" t="s">
        <v>286</v>
      </c>
      <c r="F73" s="14" t="s">
        <v>292</v>
      </c>
      <c r="G73" s="14">
        <v>2</v>
      </c>
      <c r="H73" s="11" t="s">
        <v>15</v>
      </c>
      <c r="I73" s="14" t="s">
        <v>74</v>
      </c>
      <c r="J73" s="14" t="s">
        <v>126</v>
      </c>
      <c r="K73" s="14" t="s">
        <v>48</v>
      </c>
      <c r="L73" s="14" t="s">
        <v>124</v>
      </c>
      <c r="M73" s="14" t="s">
        <v>127</v>
      </c>
      <c r="N73" s="14" t="s">
        <v>336</v>
      </c>
      <c r="O73" s="14" t="s">
        <v>95</v>
      </c>
      <c r="P73" s="14" t="s">
        <v>337</v>
      </c>
      <c r="Q73" s="14">
        <v>3</v>
      </c>
      <c r="S73" s="24" t="s">
        <v>828</v>
      </c>
      <c r="V73" t="str">
        <f t="shared" si="0"/>
        <v>CE-S5-012 Dashboard Observabilidad Básico Sprint 4 Semana 5 2026-01-27 2026-01-28 2 P0 Pendiente Frontend Gate 7 CE-S2-011 Frontend Lead Vista consumo tokens alertas automáticas budget Medio apps/web/src/pages/admin/observability.tsx</v>
      </c>
      <c r="W73" t="s">
        <v>762</v>
      </c>
    </row>
    <row r="74" spans="1:23" ht="409.6" x14ac:dyDescent="0.3">
      <c r="A74" s="14" t="s">
        <v>338</v>
      </c>
      <c r="B74" s="14" t="s">
        <v>339</v>
      </c>
      <c r="C74" s="14" t="s">
        <v>20</v>
      </c>
      <c r="D74" s="14" t="s">
        <v>285</v>
      </c>
      <c r="E74" s="14" t="s">
        <v>297</v>
      </c>
      <c r="F74" s="14" t="s">
        <v>297</v>
      </c>
      <c r="G74" s="14">
        <v>1</v>
      </c>
      <c r="H74" s="11" t="s">
        <v>15</v>
      </c>
      <c r="I74" s="14" t="s">
        <v>676</v>
      </c>
      <c r="J74" s="14" t="s">
        <v>173</v>
      </c>
      <c r="K74" s="14" t="s">
        <v>48</v>
      </c>
      <c r="L74" s="14" t="s">
        <v>90</v>
      </c>
      <c r="M74" s="14" t="s">
        <v>174</v>
      </c>
      <c r="N74" s="14" t="s">
        <v>340</v>
      </c>
      <c r="O74" s="14" t="s">
        <v>95</v>
      </c>
      <c r="P74" s="14" t="s">
        <v>341</v>
      </c>
      <c r="Q74" s="14">
        <v>2</v>
      </c>
      <c r="R74" s="24" t="s">
        <v>678</v>
      </c>
      <c r="S74" s="28" t="s">
        <v>829</v>
      </c>
      <c r="V74" t="str">
        <f t="shared" si="0"/>
        <v>CE-S5-013 Rate Limiting por Tenant Redis Sprint 4 Semana 5 2026-01-30 2026-01-30 1 P0 done Security Gate 7 CE-S2-004 Security Lead 60 req/min tenant 20 req/min user configurable Medio apps/api/src/middleware/rate_limiter.py</v>
      </c>
      <c r="W74" t="s">
        <v>763</v>
      </c>
    </row>
    <row r="75" spans="1:23" ht="409.6" x14ac:dyDescent="0.3">
      <c r="A75" s="14" t="s">
        <v>342</v>
      </c>
      <c r="B75" s="14" t="s">
        <v>343</v>
      </c>
      <c r="C75" s="14" t="s">
        <v>20</v>
      </c>
      <c r="D75" s="14" t="s">
        <v>285</v>
      </c>
      <c r="E75" s="14" t="s">
        <v>307</v>
      </c>
      <c r="F75" s="14" t="s">
        <v>307</v>
      </c>
      <c r="G75" s="14">
        <v>1</v>
      </c>
      <c r="H75" s="11" t="s">
        <v>15</v>
      </c>
      <c r="I75" s="14" t="s">
        <v>676</v>
      </c>
      <c r="J75" s="14" t="s">
        <v>75</v>
      </c>
      <c r="K75" s="14" t="s">
        <v>48</v>
      </c>
      <c r="L75" s="14" t="s">
        <v>218</v>
      </c>
      <c r="M75" s="14" t="s">
        <v>77</v>
      </c>
      <c r="N75" s="14" t="s">
        <v>344</v>
      </c>
      <c r="O75" s="14" t="s">
        <v>95</v>
      </c>
      <c r="P75" s="14" t="s">
        <v>345</v>
      </c>
      <c r="Q75" s="14">
        <v>2</v>
      </c>
      <c r="R75" s="24" t="s">
        <v>678</v>
      </c>
      <c r="S75" s="28" t="s">
        <v>874</v>
      </c>
      <c r="V75" t="str">
        <f t="shared" si="0"/>
        <v>CE-S5-014 Budget Alerts Email/Webhook Sprint 4 Semana 5 2026-01-31 2026-01-31 1 P0 done Backend Gate 7 CE-S4-002 Backend Lead Notificaciones admin 50/75/90/100% budget Medio apps/api/src/services/budget_alerts.py</v>
      </c>
      <c r="W75" t="s">
        <v>764</v>
      </c>
    </row>
    <row r="76" spans="1:23" ht="409.6" x14ac:dyDescent="0.3">
      <c r="A76" s="14" t="s">
        <v>346</v>
      </c>
      <c r="B76" s="14" t="s">
        <v>347</v>
      </c>
      <c r="C76" s="14" t="s">
        <v>20</v>
      </c>
      <c r="D76" s="14" t="s">
        <v>285</v>
      </c>
      <c r="E76" s="14" t="s">
        <v>307</v>
      </c>
      <c r="F76" s="14" t="s">
        <v>307</v>
      </c>
      <c r="G76" s="14">
        <v>1</v>
      </c>
      <c r="H76" s="11" t="s">
        <v>15</v>
      </c>
      <c r="I76" s="14" t="s">
        <v>679</v>
      </c>
      <c r="J76" s="14" t="s">
        <v>145</v>
      </c>
      <c r="K76" s="14" t="s">
        <v>41</v>
      </c>
      <c r="L76" s="14" t="s">
        <v>348</v>
      </c>
      <c r="M76" s="14" t="s">
        <v>146</v>
      </c>
      <c r="N76" s="14" t="s">
        <v>349</v>
      </c>
      <c r="O76" s="14" t="s">
        <v>95</v>
      </c>
      <c r="P76" s="14" t="s">
        <v>350</v>
      </c>
      <c r="Q76" s="14">
        <v>2</v>
      </c>
      <c r="R76" s="24" t="s">
        <v>678</v>
      </c>
      <c r="S76" s="40" t="s">
        <v>875</v>
      </c>
      <c r="V76" t="str">
        <f t="shared" si="0"/>
        <v>CE-S5-015 Tests Integración Stakeholder Flow Sprint 4 Semana 5 2026-01-31 2026-01-31 1 P0 en curso Testing Gate 5 CE-S5-001;CE-S5-003 QA Lead Extracción Clasificación RACI flujo completo Medio tests/integration/stakeholders/</v>
      </c>
      <c r="W76" t="s">
        <v>765</v>
      </c>
    </row>
    <row r="77" spans="1:23" ht="409.6" x14ac:dyDescent="0.3">
      <c r="A77" s="14" t="s">
        <v>351</v>
      </c>
      <c r="B77" s="14" t="s">
        <v>352</v>
      </c>
      <c r="C77" s="14" t="s">
        <v>20</v>
      </c>
      <c r="D77" s="14" t="s">
        <v>353</v>
      </c>
      <c r="E77" s="14" t="s">
        <v>354</v>
      </c>
      <c r="F77" s="14" t="s">
        <v>355</v>
      </c>
      <c r="G77" s="14">
        <v>2</v>
      </c>
      <c r="H77" s="11" t="s">
        <v>15</v>
      </c>
      <c r="I77" s="14" t="s">
        <v>74</v>
      </c>
      <c r="J77" s="14" t="s">
        <v>126</v>
      </c>
      <c r="K77" s="14" t="s">
        <v>45</v>
      </c>
      <c r="L77" s="14" t="s">
        <v>186</v>
      </c>
      <c r="M77" s="14" t="s">
        <v>127</v>
      </c>
      <c r="N77" s="14" t="s">
        <v>356</v>
      </c>
      <c r="O77" s="14" t="s">
        <v>95</v>
      </c>
      <c r="P77" s="14" t="s">
        <v>357</v>
      </c>
      <c r="Q77" s="14">
        <v>3</v>
      </c>
      <c r="S77" s="24" t="s">
        <v>832</v>
      </c>
      <c r="V77" t="str">
        <f t="shared" si="0"/>
        <v>CE-S6-001 Vista Dashboard + Score Gauge Sprint 4 Semana 6 2026-02-02 2026-02-03 2 P0 Pendiente Frontend Gate 6 CE-S3-007 Frontend Lead Score 0-100 visual colores carga &lt;2s gauge animado Medio apps/web/src/pages/dashboard.tsx</v>
      </c>
      <c r="W77" t="s">
        <v>766</v>
      </c>
    </row>
    <row r="78" spans="1:23" ht="409.6" x14ac:dyDescent="0.3">
      <c r="A78" s="14" t="s">
        <v>358</v>
      </c>
      <c r="B78" s="14" t="s">
        <v>359</v>
      </c>
      <c r="C78" s="14" t="s">
        <v>20</v>
      </c>
      <c r="D78" s="14" t="s">
        <v>353</v>
      </c>
      <c r="E78" s="14" t="s">
        <v>354</v>
      </c>
      <c r="F78" s="14" t="s">
        <v>354</v>
      </c>
      <c r="G78" s="14">
        <v>1</v>
      </c>
      <c r="H78" s="11" t="s">
        <v>15</v>
      </c>
      <c r="I78" s="14" t="s">
        <v>74</v>
      </c>
      <c r="J78" s="14" t="s">
        <v>126</v>
      </c>
      <c r="K78" s="14"/>
      <c r="L78" s="14" t="s">
        <v>191</v>
      </c>
      <c r="M78" s="14" t="s">
        <v>127</v>
      </c>
      <c r="N78" s="14" t="s">
        <v>360</v>
      </c>
      <c r="O78" s="14" t="s">
        <v>79</v>
      </c>
      <c r="P78" s="14" t="s">
        <v>361</v>
      </c>
      <c r="Q78" s="14">
        <v>2</v>
      </c>
      <c r="S78" s="24" t="s">
        <v>833</v>
      </c>
      <c r="T78" s="24" t="s">
        <v>834</v>
      </c>
      <c r="V78" t="str">
        <f t="shared" si="0"/>
        <v>CE-S6-002 Vista Lista Proyectos Sprint 4 Semana 6 2026-02-02 2026-02-02 1 P0 Pendiente Frontend  CE-S3-008 Frontend Lead Filtros estado/búsqueda/orden paginación Bajo apps/web/src/pages/projects/index.tsx</v>
      </c>
      <c r="W78" t="s">
        <v>767</v>
      </c>
    </row>
    <row r="79" spans="1:23" ht="409.6" x14ac:dyDescent="0.3">
      <c r="A79" s="31" t="s">
        <v>362</v>
      </c>
      <c r="B79" s="14" t="s">
        <v>363</v>
      </c>
      <c r="C79" s="14" t="s">
        <v>20</v>
      </c>
      <c r="D79" s="14" t="s">
        <v>353</v>
      </c>
      <c r="E79" s="14" t="s">
        <v>355</v>
      </c>
      <c r="F79" s="14" t="s">
        <v>364</v>
      </c>
      <c r="G79" s="14">
        <v>2</v>
      </c>
      <c r="H79" s="11" t="s">
        <v>15</v>
      </c>
      <c r="I79" s="14" t="s">
        <v>74</v>
      </c>
      <c r="J79" s="14" t="s">
        <v>126</v>
      </c>
      <c r="K79" s="14" t="s">
        <v>38</v>
      </c>
      <c r="L79" s="14" t="s">
        <v>253</v>
      </c>
      <c r="M79" s="14" t="s">
        <v>127</v>
      </c>
      <c r="N79" s="14" t="s">
        <v>365</v>
      </c>
      <c r="O79" s="14" t="s">
        <v>176</v>
      </c>
      <c r="P79" s="14" t="s">
        <v>366</v>
      </c>
      <c r="Q79" s="14">
        <v>5</v>
      </c>
      <c r="S79" s="24" t="s">
        <v>835</v>
      </c>
      <c r="V79" t="str">
        <f t="shared" si="0"/>
        <v>CE-S6-003 Evidence Viewer Links Cláusulas Sprint 4 Semana 6 2026-02-03 2026-02-04 2 P0 Pendiente Frontend Gate 4 CE-S4-009 Frontend Lead Click alerta cláusula WBS/BOM navegación bidireccional Alto apps/web/src/components/EvidenceViewer.tsx</v>
      </c>
      <c r="W79" t="s">
        <v>768</v>
      </c>
    </row>
    <row r="80" spans="1:23" ht="409.6" x14ac:dyDescent="0.3">
      <c r="A80" s="14" t="s">
        <v>367</v>
      </c>
      <c r="B80" s="14" t="s">
        <v>368</v>
      </c>
      <c r="C80" s="14" t="s">
        <v>20</v>
      </c>
      <c r="D80" s="14" t="s">
        <v>353</v>
      </c>
      <c r="E80" s="14" t="s">
        <v>364</v>
      </c>
      <c r="F80" s="14" t="s">
        <v>364</v>
      </c>
      <c r="G80" s="14">
        <v>1</v>
      </c>
      <c r="H80" s="11" t="s">
        <v>15</v>
      </c>
      <c r="I80" s="14" t="s">
        <v>74</v>
      </c>
      <c r="J80" s="14" t="s">
        <v>126</v>
      </c>
      <c r="K80" s="14"/>
      <c r="L80" s="14" t="s">
        <v>362</v>
      </c>
      <c r="M80" s="14" t="s">
        <v>127</v>
      </c>
      <c r="N80" s="14" t="s">
        <v>369</v>
      </c>
      <c r="O80" s="14" t="s">
        <v>79</v>
      </c>
      <c r="P80" s="14" t="s">
        <v>370</v>
      </c>
      <c r="Q80" s="14">
        <v>2</v>
      </c>
      <c r="S80" s="24" t="s">
        <v>836</v>
      </c>
      <c r="V80" t="str">
        <f t="shared" si="0"/>
        <v>CE-S6-004 Panel Alertas Filtros Severidad Sprint 4 Semana 6 2026-02-04 2026-02-04 1 P0 Pendiente Frontend  CE-S6-003 Frontend Lead Vista alertas abiertas/resolved filtros bulk actions Bajo apps/web/src/pages/alerts.tsx</v>
      </c>
      <c r="W80" t="s">
        <v>769</v>
      </c>
    </row>
    <row r="81" spans="1:23" ht="409.6" x14ac:dyDescent="0.3">
      <c r="A81" s="14" t="s">
        <v>371</v>
      </c>
      <c r="B81" s="14" t="s">
        <v>372</v>
      </c>
      <c r="C81" s="14" t="s">
        <v>20</v>
      </c>
      <c r="D81" s="14" t="s">
        <v>353</v>
      </c>
      <c r="E81" s="14" t="s">
        <v>364</v>
      </c>
      <c r="F81" s="14" t="s">
        <v>373</v>
      </c>
      <c r="G81" s="14">
        <v>2</v>
      </c>
      <c r="H81" s="11" t="s">
        <v>15</v>
      </c>
      <c r="I81" s="14" t="s">
        <v>74</v>
      </c>
      <c r="J81" s="14" t="s">
        <v>126</v>
      </c>
      <c r="K81" s="14" t="s">
        <v>45</v>
      </c>
      <c r="L81" s="14" t="s">
        <v>326</v>
      </c>
      <c r="M81" s="14" t="s">
        <v>127</v>
      </c>
      <c r="N81" s="14" t="s">
        <v>374</v>
      </c>
      <c r="O81" s="14" t="s">
        <v>95</v>
      </c>
      <c r="P81" s="14" t="s">
        <v>375</v>
      </c>
      <c r="Q81" s="14">
        <v>3</v>
      </c>
      <c r="S81" s="24" t="s">
        <v>837</v>
      </c>
      <c r="V81" t="str">
        <f t="shared" si="0"/>
        <v>CE-S6-005 Stakeholder Map Matriz Poder/Interés Sprint 4 Semana 6 2026-02-04 2026-02-05 2 P0 Pendiente Frontend Gate 6 CE-S5-010 Frontend Lead Visualización interactiva cuadrantes drag &amp; drop Medio apps/web/src/components/StakeholderMap.tsx</v>
      </c>
      <c r="W81" t="s">
        <v>770</v>
      </c>
    </row>
    <row r="82" spans="1:23" ht="409.6" x14ac:dyDescent="0.3">
      <c r="A82" s="14" t="s">
        <v>376</v>
      </c>
      <c r="B82" s="14" t="s">
        <v>377</v>
      </c>
      <c r="C82" s="14" t="s">
        <v>20</v>
      </c>
      <c r="D82" s="14" t="s">
        <v>353</v>
      </c>
      <c r="E82" s="14" t="s">
        <v>373</v>
      </c>
      <c r="F82" s="14" t="s">
        <v>373</v>
      </c>
      <c r="G82" s="14">
        <v>1</v>
      </c>
      <c r="H82" s="11" t="s">
        <v>15</v>
      </c>
      <c r="I82" s="14" t="s">
        <v>74</v>
      </c>
      <c r="J82" s="14" t="s">
        <v>126</v>
      </c>
      <c r="K82" s="14" t="s">
        <v>45</v>
      </c>
      <c r="L82" s="14" t="s">
        <v>330</v>
      </c>
      <c r="M82" s="14" t="s">
        <v>127</v>
      </c>
      <c r="N82" s="14" t="s">
        <v>378</v>
      </c>
      <c r="O82" s="14" t="s">
        <v>95</v>
      </c>
      <c r="P82" s="14" t="s">
        <v>379</v>
      </c>
      <c r="Q82" s="14">
        <v>2</v>
      </c>
      <c r="S82" s="24" t="s">
        <v>838</v>
      </c>
      <c r="V82" t="str">
        <f t="shared" si="0"/>
        <v>CE-S6-006 RACI Viewer Editable Sprint 4 Semana 6 2026-02-05 2026-02-05 1 P0 Pendiente Frontend Gate 6 CE-S5-011 Frontend Lead Tabla WBS x Stakeholders RACI edición inline Medio apps/web/src/components/RACIViewer.tsx</v>
      </c>
      <c r="W82" t="s">
        <v>771</v>
      </c>
    </row>
    <row r="83" spans="1:23" ht="409.6" x14ac:dyDescent="0.3">
      <c r="A83" s="14" t="s">
        <v>380</v>
      </c>
      <c r="B83" s="14" t="s">
        <v>381</v>
      </c>
      <c r="C83" s="14" t="s">
        <v>20</v>
      </c>
      <c r="D83" s="14" t="s">
        <v>353</v>
      </c>
      <c r="E83" s="14" t="s">
        <v>373</v>
      </c>
      <c r="F83" s="14" t="s">
        <v>373</v>
      </c>
      <c r="G83" s="14">
        <v>0.5</v>
      </c>
      <c r="H83" s="11" t="s">
        <v>15</v>
      </c>
      <c r="I83" s="14" t="s">
        <v>74</v>
      </c>
      <c r="J83" s="14" t="s">
        <v>126</v>
      </c>
      <c r="K83" s="14" t="s">
        <v>45</v>
      </c>
      <c r="L83" s="14" t="s">
        <v>301</v>
      </c>
      <c r="M83" s="14" t="s">
        <v>127</v>
      </c>
      <c r="N83" s="14" t="s">
        <v>382</v>
      </c>
      <c r="O83" s="14" t="s">
        <v>95</v>
      </c>
      <c r="P83" s="14" t="s">
        <v>383</v>
      </c>
      <c r="Q83" s="14">
        <v>1</v>
      </c>
      <c r="S83" s="24" t="s">
        <v>839</v>
      </c>
      <c r="V83" t="str">
        <f t="shared" si="0"/>
        <v>CE-S6-007 Modal Human-in-Loop Confirmación Sprint 4 Semana 6 2026-02-05 2026-02-05 0,5 P0 Pendiente Frontend Gate 6 CE-S5-004 Frontend Lead Confirmación aprobar/rechazar outputs IA workflow Medio apps/web/src/components/ApprovalModal.tsx</v>
      </c>
      <c r="W83" t="s">
        <v>772</v>
      </c>
    </row>
    <row r="84" spans="1:23" ht="409.6" x14ac:dyDescent="0.3">
      <c r="A84" s="14" t="s">
        <v>384</v>
      </c>
      <c r="B84" s="14" t="s">
        <v>385</v>
      </c>
      <c r="C84" s="14" t="s">
        <v>20</v>
      </c>
      <c r="D84" s="14" t="s">
        <v>353</v>
      </c>
      <c r="E84" s="14" t="s">
        <v>354</v>
      </c>
      <c r="F84" s="14" t="s">
        <v>354</v>
      </c>
      <c r="G84" s="14">
        <v>1</v>
      </c>
      <c r="H84" s="11" t="s">
        <v>15</v>
      </c>
      <c r="I84" s="14" t="s">
        <v>679</v>
      </c>
      <c r="J84" s="14" t="s">
        <v>188</v>
      </c>
      <c r="K84" s="14" t="s">
        <v>38</v>
      </c>
      <c r="L84" s="14" t="s">
        <v>85</v>
      </c>
      <c r="M84" s="14" t="s">
        <v>77</v>
      </c>
      <c r="N84" s="14" t="s">
        <v>386</v>
      </c>
      <c r="O84" s="14" t="s">
        <v>79</v>
      </c>
      <c r="P84" s="14" t="s">
        <v>387</v>
      </c>
      <c r="Q84" s="14">
        <v>2</v>
      </c>
      <c r="R84" s="36" t="s">
        <v>677</v>
      </c>
      <c r="S84" s="29" t="s">
        <v>876</v>
      </c>
      <c r="T84" s="24" t="s">
        <v>840</v>
      </c>
      <c r="V84" t="str">
        <f t="shared" ref="V84:V99" si="1">A84 &amp; " " &amp; B84 &amp; " " &amp; C84 &amp; " " &amp; D84 &amp; " " &amp; E84 &amp; " " &amp; F84 &amp; " " &amp; G84 &amp; " " &amp; H84 &amp; " " &amp; I84 &amp; " " &amp; J84 &amp; " " &amp; K84 &amp; " " &amp; L84 &amp; " " &amp; M84 &amp; " " &amp; N84 &amp; " " &amp; O84 &amp; " " &amp; P84</f>
        <v>CE-S6-008 Endpoints /projects/{id}/wbs y /bom Sprint 4 Semana 6 2026-02-02 2026-02-02 1 P0 en curso API Gate 4 CE-S2-003 Backend Lead CRUD WBS/BOM jerarquía WBS representada Bajo apps/api/src/routers/wbs.py</v>
      </c>
      <c r="W84" t="s">
        <v>773</v>
      </c>
    </row>
    <row r="85" spans="1:23" ht="409.6" x14ac:dyDescent="0.3">
      <c r="A85" s="14" t="s">
        <v>388</v>
      </c>
      <c r="B85" s="14" t="s">
        <v>389</v>
      </c>
      <c r="C85" s="14" t="s">
        <v>20</v>
      </c>
      <c r="D85" s="14" t="s">
        <v>353</v>
      </c>
      <c r="E85" s="14" t="s">
        <v>355</v>
      </c>
      <c r="F85" s="14" t="s">
        <v>355</v>
      </c>
      <c r="G85" s="14">
        <v>1</v>
      </c>
      <c r="H85" s="11" t="s">
        <v>15</v>
      </c>
      <c r="I85" s="14" t="s">
        <v>74</v>
      </c>
      <c r="J85" s="14" t="s">
        <v>188</v>
      </c>
      <c r="K85" s="14"/>
      <c r="L85" s="14" t="s">
        <v>182</v>
      </c>
      <c r="M85" s="14" t="s">
        <v>77</v>
      </c>
      <c r="N85" s="14" t="s">
        <v>390</v>
      </c>
      <c r="O85" s="14" t="s">
        <v>79</v>
      </c>
      <c r="P85" s="14" t="s">
        <v>391</v>
      </c>
      <c r="Q85" s="14">
        <v>2</v>
      </c>
      <c r="S85" s="24" t="s">
        <v>877</v>
      </c>
      <c r="V85" t="str">
        <f t="shared" si="1"/>
        <v>CE-S6-009 Endpoint POST /projects/{id}/analyze Sprint 4 Semana 6 2026-02-03 2026-02-03 1 P0 Pendiente API  CE-S3-006 Backend Lead Trigger análisis async retorna job_id polling Bajo apps/api/src/routers/analysis.py</v>
      </c>
      <c r="W85" t="s">
        <v>774</v>
      </c>
    </row>
    <row r="86" spans="1:23" ht="409.6" x14ac:dyDescent="0.3">
      <c r="A86" s="14" t="s">
        <v>392</v>
      </c>
      <c r="B86" s="14" t="s">
        <v>393</v>
      </c>
      <c r="C86" s="14" t="s">
        <v>20</v>
      </c>
      <c r="D86" s="14" t="s">
        <v>353</v>
      </c>
      <c r="E86" s="14" t="s">
        <v>354</v>
      </c>
      <c r="F86" s="14" t="s">
        <v>354</v>
      </c>
      <c r="G86" s="14">
        <v>1</v>
      </c>
      <c r="H86" s="11" t="s">
        <v>15</v>
      </c>
      <c r="I86" s="14" t="s">
        <v>74</v>
      </c>
      <c r="J86" s="14" t="s">
        <v>75</v>
      </c>
      <c r="K86" s="14" t="s">
        <v>38</v>
      </c>
      <c r="L86" s="14" t="s">
        <v>178</v>
      </c>
      <c r="M86" s="14" t="s">
        <v>77</v>
      </c>
      <c r="N86" s="14" t="s">
        <v>394</v>
      </c>
      <c r="O86" s="14" t="s">
        <v>95</v>
      </c>
      <c r="P86" s="14" t="s">
        <v>395</v>
      </c>
      <c r="Q86" s="14">
        <v>2</v>
      </c>
      <c r="S86" s="24" t="s">
        <v>841</v>
      </c>
      <c r="V86" t="str">
        <f t="shared" si="1"/>
        <v>CE-S6-010 Propagar clause_id a WBS Items Sprint 4 Semana 6 2026-02-02 2026-02-02 1 P0 Pendiente Backend Gate 4 CE-S3-005 Backend Lead funded_by_clause_id auto 100% WBS con FK Medio apps/api/src/services/wbs_service.py</v>
      </c>
      <c r="W86" t="s">
        <v>775</v>
      </c>
    </row>
    <row r="87" spans="1:23" ht="409.6" x14ac:dyDescent="0.3">
      <c r="A87" s="14" t="s">
        <v>396</v>
      </c>
      <c r="B87" s="14" t="s">
        <v>397</v>
      </c>
      <c r="C87" s="14" t="s">
        <v>20</v>
      </c>
      <c r="D87" s="14" t="s">
        <v>353</v>
      </c>
      <c r="E87" s="14" t="s">
        <v>355</v>
      </c>
      <c r="F87" s="14" t="s">
        <v>355</v>
      </c>
      <c r="G87" s="14">
        <v>1</v>
      </c>
      <c r="H87" s="11" t="s">
        <v>15</v>
      </c>
      <c r="I87" s="14" t="s">
        <v>74</v>
      </c>
      <c r="J87" s="14" t="s">
        <v>75</v>
      </c>
      <c r="K87" s="14" t="s">
        <v>38</v>
      </c>
      <c r="L87" s="14" t="s">
        <v>178</v>
      </c>
      <c r="M87" s="14" t="s">
        <v>77</v>
      </c>
      <c r="N87" s="14" t="s">
        <v>398</v>
      </c>
      <c r="O87" s="14" t="s">
        <v>95</v>
      </c>
      <c r="P87" s="14" t="s">
        <v>399</v>
      </c>
      <c r="Q87" s="14">
        <v>2</v>
      </c>
      <c r="S87" s="24" t="s">
        <v>878</v>
      </c>
      <c r="T87" s="24" t="s">
        <v>879</v>
      </c>
      <c r="V87" t="str">
        <f t="shared" si="1"/>
        <v>CE-S6-011 Propagar clause_id a BOM Items Sprint 4 Semana 6 2026-02-03 2026-02-03 1 P0 Pendiente Backend Gate 4 CE-S3-005 Backend Lead contract_clause_id auto 100% BOM con FK Medio apps/api/src/services/bom_service.py</v>
      </c>
      <c r="W87" t="s">
        <v>776</v>
      </c>
    </row>
    <row r="88" spans="1:23" ht="409.6" x14ac:dyDescent="0.3">
      <c r="A88" s="14" t="s">
        <v>400</v>
      </c>
      <c r="B88" s="14" t="s">
        <v>401</v>
      </c>
      <c r="C88" s="14" t="s">
        <v>20</v>
      </c>
      <c r="D88" s="14" t="s">
        <v>353</v>
      </c>
      <c r="E88" s="14" t="s">
        <v>364</v>
      </c>
      <c r="F88" s="14" t="s">
        <v>364</v>
      </c>
      <c r="G88" s="14">
        <v>1</v>
      </c>
      <c r="H88" s="11" t="s">
        <v>15</v>
      </c>
      <c r="I88" s="14" t="s">
        <v>74</v>
      </c>
      <c r="J88" s="14" t="s">
        <v>75</v>
      </c>
      <c r="K88" s="14" t="s">
        <v>38</v>
      </c>
      <c r="L88" s="14" t="s">
        <v>402</v>
      </c>
      <c r="M88" s="14" t="s">
        <v>77</v>
      </c>
      <c r="N88" s="14" t="s">
        <v>403</v>
      </c>
      <c r="O88" s="14" t="s">
        <v>95</v>
      </c>
      <c r="P88" s="14" t="s">
        <v>404</v>
      </c>
      <c r="Q88" s="14">
        <v>2</v>
      </c>
      <c r="S88" s="24" t="s">
        <v>880</v>
      </c>
      <c r="V88" t="str">
        <f t="shared" si="1"/>
        <v>CE-S6-012 Evidence Viewer Logic Query Sprint 4 Semana 6 2026-02-04 2026-02-04 1 P0 Pendiente Backend Gate 4 CE-S6-010;CE-S6-011 Backend Lead Query reconstruye clause WBS BOM dado alert_id Medio apps/api/src/services/evidence_service.py</v>
      </c>
      <c r="W88" t="s">
        <v>777</v>
      </c>
    </row>
    <row r="89" spans="1:23" ht="409.6" x14ac:dyDescent="0.3">
      <c r="A89" s="14" t="s">
        <v>405</v>
      </c>
      <c r="B89" s="14" t="s">
        <v>406</v>
      </c>
      <c r="C89" s="14" t="s">
        <v>20</v>
      </c>
      <c r="D89" s="14" t="s">
        <v>353</v>
      </c>
      <c r="E89" s="14" t="s">
        <v>355</v>
      </c>
      <c r="F89" s="14" t="s">
        <v>364</v>
      </c>
      <c r="G89" s="14">
        <v>2</v>
      </c>
      <c r="H89" s="12" t="s">
        <v>16</v>
      </c>
      <c r="I89" s="14" t="s">
        <v>74</v>
      </c>
      <c r="J89" s="14" t="s">
        <v>75</v>
      </c>
      <c r="K89" s="14"/>
      <c r="L89" s="14" t="s">
        <v>305</v>
      </c>
      <c r="M89" s="14" t="s">
        <v>77</v>
      </c>
      <c r="N89" s="14" t="s">
        <v>407</v>
      </c>
      <c r="O89" s="14" t="s">
        <v>95</v>
      </c>
      <c r="P89" s="14" t="s">
        <v>408</v>
      </c>
      <c r="Q89" s="14">
        <v>3</v>
      </c>
      <c r="S89" s="24" t="s">
        <v>881</v>
      </c>
      <c r="V89" t="str">
        <f t="shared" si="1"/>
        <v>CE-S6-013 Graph RAG Service Abstracción Sprint 4 Semana 6 2026-02-03 2026-02-04 2 P1 Pendiente Backend  CE-S5-005 Backend Lead Interface GraphStore impl NetworkX tests mock Medio apps/api/src/services/graph_store.py</v>
      </c>
      <c r="W89" t="s">
        <v>778</v>
      </c>
    </row>
    <row r="90" spans="1:23" ht="409.6" x14ac:dyDescent="0.3">
      <c r="A90" s="14" t="s">
        <v>409</v>
      </c>
      <c r="B90" s="14" t="s">
        <v>410</v>
      </c>
      <c r="C90" s="14" t="s">
        <v>20</v>
      </c>
      <c r="D90" s="14" t="s">
        <v>353</v>
      </c>
      <c r="E90" s="14" t="s">
        <v>373</v>
      </c>
      <c r="F90" s="14" t="s">
        <v>373</v>
      </c>
      <c r="G90" s="14">
        <v>1</v>
      </c>
      <c r="H90" s="12" t="s">
        <v>16</v>
      </c>
      <c r="I90" s="14" t="s">
        <v>74</v>
      </c>
      <c r="J90" s="14" t="s">
        <v>75</v>
      </c>
      <c r="K90" s="14" t="s">
        <v>48</v>
      </c>
      <c r="L90" s="14" t="s">
        <v>90</v>
      </c>
      <c r="M90" s="14" t="s">
        <v>77</v>
      </c>
      <c r="N90" s="14" t="s">
        <v>411</v>
      </c>
      <c r="O90" s="14" t="s">
        <v>95</v>
      </c>
      <c r="P90" s="14" t="s">
        <v>412</v>
      </c>
      <c r="Q90" s="14">
        <v>2</v>
      </c>
      <c r="S90" s="24" t="s">
        <v>882</v>
      </c>
      <c r="V90" t="str">
        <f t="shared" si="1"/>
        <v>CE-S6-014 Circuit Breaker Claude API Sprint 4 Semana 6 2026-02-05 2026-02-05 1 P1 Pendiente Backend Gate 7 CE-S2-004 Backend Lead Retry backoff fallback caché API degradada ok Medio apps/api/src/ai/circuit_breaker.py</v>
      </c>
      <c r="W90" t="s">
        <v>779</v>
      </c>
    </row>
    <row r="91" spans="1:23" ht="409.6" x14ac:dyDescent="0.3">
      <c r="A91" s="14" t="s">
        <v>413</v>
      </c>
      <c r="B91" s="14" t="s">
        <v>414</v>
      </c>
      <c r="C91" s="14" t="s">
        <v>20</v>
      </c>
      <c r="D91" s="14" t="s">
        <v>353</v>
      </c>
      <c r="E91" s="14" t="s">
        <v>373</v>
      </c>
      <c r="F91" s="14" t="s">
        <v>373</v>
      </c>
      <c r="G91" s="14">
        <v>1</v>
      </c>
      <c r="H91" s="11" t="s">
        <v>15</v>
      </c>
      <c r="I91" s="14" t="s">
        <v>74</v>
      </c>
      <c r="J91" s="14" t="s">
        <v>75</v>
      </c>
      <c r="K91" s="14"/>
      <c r="L91" s="14" t="s">
        <v>182</v>
      </c>
      <c r="M91" s="14" t="s">
        <v>77</v>
      </c>
      <c r="N91" s="14" t="s">
        <v>415</v>
      </c>
      <c r="O91" s="14" t="s">
        <v>79</v>
      </c>
      <c r="P91" s="14" t="s">
        <v>416</v>
      </c>
      <c r="Q91" s="14">
        <v>2</v>
      </c>
      <c r="S91" s="24" t="s">
        <v>842</v>
      </c>
      <c r="V91" t="str">
        <f t="shared" si="1"/>
        <v>CE-S6-015 Async Processing Parsing Background Sprint 4 Semana 6 2026-02-05 2026-02-05 1 P0 Pendiente Backend  CE-S3-006 Backend Lead Parsing background polling status upload inmediato Bajo apps/api/src/tasks/parsing_tasks.py</v>
      </c>
      <c r="W91" t="s">
        <v>780</v>
      </c>
    </row>
    <row r="92" spans="1:23" x14ac:dyDescent="0.3">
      <c r="A92" s="15" t="s">
        <v>417</v>
      </c>
      <c r="B92" s="15" t="s">
        <v>418</v>
      </c>
      <c r="C92" s="15" t="s">
        <v>21</v>
      </c>
      <c r="D92" s="15" t="s">
        <v>419</v>
      </c>
      <c r="E92" s="15" t="s">
        <v>420</v>
      </c>
      <c r="F92" s="15" t="s">
        <v>420</v>
      </c>
      <c r="G92" s="15">
        <v>1</v>
      </c>
      <c r="H92" s="11" t="s">
        <v>15</v>
      </c>
      <c r="I92" s="15" t="s">
        <v>74</v>
      </c>
      <c r="J92" s="15" t="s">
        <v>173</v>
      </c>
      <c r="K92" s="15" t="s">
        <v>51</v>
      </c>
      <c r="L92" s="15" t="s">
        <v>76</v>
      </c>
      <c r="M92" s="15" t="s">
        <v>174</v>
      </c>
      <c r="N92" s="15" t="s">
        <v>421</v>
      </c>
      <c r="O92" s="15" t="s">
        <v>176</v>
      </c>
      <c r="P92" s="15" t="s">
        <v>422</v>
      </c>
      <c r="Q92" s="15">
        <v>2</v>
      </c>
      <c r="V92" t="str">
        <f t="shared" si="1"/>
        <v>CE-S7-001 Cifrado Documentos R2 AES-256 Sprint 5 Semana 7 2026-02-09 2026-02-09 1 P0 Pendiente Security Gate 8 Ninguna Security Lead Server-side encryption keys tenant docs cifrados Alto apps/api/src/storage/encryption.py</v>
      </c>
      <c r="W92" t="s">
        <v>781</v>
      </c>
    </row>
    <row r="93" spans="1:23" x14ac:dyDescent="0.3">
      <c r="A93" s="15" t="s">
        <v>423</v>
      </c>
      <c r="B93" s="15" t="s">
        <v>424</v>
      </c>
      <c r="C93" s="15" t="s">
        <v>21</v>
      </c>
      <c r="D93" s="15" t="s">
        <v>419</v>
      </c>
      <c r="E93" s="15" t="s">
        <v>420</v>
      </c>
      <c r="F93" s="15" t="s">
        <v>420</v>
      </c>
      <c r="G93" s="15">
        <v>1</v>
      </c>
      <c r="H93" s="11" t="s">
        <v>15</v>
      </c>
      <c r="I93" s="15" t="s">
        <v>74</v>
      </c>
      <c r="J93" s="15" t="s">
        <v>173</v>
      </c>
      <c r="K93" s="15" t="s">
        <v>51</v>
      </c>
      <c r="L93" s="15" t="s">
        <v>76</v>
      </c>
      <c r="M93" s="15" t="s">
        <v>174</v>
      </c>
      <c r="N93" s="15" t="s">
        <v>425</v>
      </c>
      <c r="O93" s="15" t="s">
        <v>95</v>
      </c>
      <c r="P93" s="15" t="s">
        <v>426</v>
      </c>
      <c r="Q93" s="15">
        <v>2</v>
      </c>
      <c r="V93" t="str">
        <f t="shared" si="1"/>
        <v>CE-S7-002 Política Retención Soft Delete Sprint 5 Semana 7 2026-02-09 2026-02-09 1 P0 Pendiente Security Gate 8 Ninguna Security Lead Soft delete hard delete 30 días job limpieza Medio apps/api/src/tasks/retention_job.py</v>
      </c>
      <c r="W93" t="s">
        <v>782</v>
      </c>
    </row>
    <row r="94" spans="1:23" x14ac:dyDescent="0.3">
      <c r="A94" s="15" t="s">
        <v>427</v>
      </c>
      <c r="B94" s="15" t="s">
        <v>428</v>
      </c>
      <c r="C94" s="15" t="s">
        <v>21</v>
      </c>
      <c r="D94" s="15" t="s">
        <v>419</v>
      </c>
      <c r="E94" s="15" t="s">
        <v>429</v>
      </c>
      <c r="F94" s="15" t="s">
        <v>429</v>
      </c>
      <c r="G94" s="15">
        <v>1</v>
      </c>
      <c r="H94" s="11" t="s">
        <v>15</v>
      </c>
      <c r="I94" s="15" t="s">
        <v>74</v>
      </c>
      <c r="J94" s="15" t="s">
        <v>75</v>
      </c>
      <c r="K94" s="15" t="s">
        <v>48</v>
      </c>
      <c r="L94" s="15" t="s">
        <v>218</v>
      </c>
      <c r="M94" s="15" t="s">
        <v>77</v>
      </c>
      <c r="N94" s="15" t="s">
        <v>430</v>
      </c>
      <c r="O94" s="15" t="s">
        <v>176</v>
      </c>
      <c r="P94" s="15" t="s">
        <v>431</v>
      </c>
      <c r="Q94" s="15">
        <v>2</v>
      </c>
      <c r="V94" t="str">
        <f t="shared" si="1"/>
        <v>CE-S7-003 Auto-block Degradación Graceful Sprint 5 Semana 7 2026-02-10 2026-02-10 1 P0 Pendiente Backend Gate 7 CE-S4-002 Backend Lead Bloquear LLM 100% budget sistema sigue sin IA Alto apps/api/src/ai/budget_blocker.py</v>
      </c>
      <c r="W94" t="s">
        <v>783</v>
      </c>
    </row>
    <row r="95" spans="1:23" x14ac:dyDescent="0.3">
      <c r="A95" s="15" t="s">
        <v>432</v>
      </c>
      <c r="B95" s="15" t="s">
        <v>433</v>
      </c>
      <c r="C95" s="15" t="s">
        <v>21</v>
      </c>
      <c r="D95" s="15" t="s">
        <v>419</v>
      </c>
      <c r="E95" s="15" t="s">
        <v>429</v>
      </c>
      <c r="F95" s="15" t="s">
        <v>434</v>
      </c>
      <c r="G95" s="15">
        <v>2</v>
      </c>
      <c r="H95" s="12" t="s">
        <v>16</v>
      </c>
      <c r="I95" s="15" t="s">
        <v>74</v>
      </c>
      <c r="J95" s="15" t="s">
        <v>99</v>
      </c>
      <c r="K95" s="15" t="s">
        <v>48</v>
      </c>
      <c r="L95" s="15" t="s">
        <v>111</v>
      </c>
      <c r="M95" s="15" t="s">
        <v>100</v>
      </c>
      <c r="N95" s="15" t="s">
        <v>435</v>
      </c>
      <c r="O95" s="15" t="s">
        <v>95</v>
      </c>
      <c r="P95" s="15" t="s">
        <v>436</v>
      </c>
      <c r="Q95" s="15">
        <v>3</v>
      </c>
      <c r="V95" t="str">
        <f t="shared" si="1"/>
        <v>CE-S7-004 Optimizar Prompts Reducir Tokens Sprint 5 Semana 7 2026-02-10 2026-02-11 2 P1 Pendiente AI Gate 7 CE-S2-008 AI Lead Few-shot reducido 20% reducción tokens promedio Medio prompts/v1/</v>
      </c>
      <c r="W95" t="s">
        <v>784</v>
      </c>
    </row>
    <row r="96" spans="1:23" x14ac:dyDescent="0.3">
      <c r="A96" s="15" t="s">
        <v>437</v>
      </c>
      <c r="B96" s="15" t="s">
        <v>438</v>
      </c>
      <c r="C96" s="15" t="s">
        <v>21</v>
      </c>
      <c r="D96" s="15" t="s">
        <v>419</v>
      </c>
      <c r="E96" s="15" t="s">
        <v>434</v>
      </c>
      <c r="F96" s="15" t="s">
        <v>434</v>
      </c>
      <c r="G96" s="15">
        <v>1</v>
      </c>
      <c r="H96" s="12" t="s">
        <v>16</v>
      </c>
      <c r="I96" s="15" t="s">
        <v>74</v>
      </c>
      <c r="J96" s="15" t="s">
        <v>126</v>
      </c>
      <c r="K96" s="15" t="s">
        <v>48</v>
      </c>
      <c r="L96" s="15" t="s">
        <v>334</v>
      </c>
      <c r="M96" s="15" t="s">
        <v>127</v>
      </c>
      <c r="N96" s="15" t="s">
        <v>439</v>
      </c>
      <c r="O96" s="15" t="s">
        <v>79</v>
      </c>
      <c r="P96" s="15" t="s">
        <v>440</v>
      </c>
      <c r="Q96" s="15">
        <v>2</v>
      </c>
      <c r="V96" t="str">
        <f t="shared" si="1"/>
        <v>CE-S7-005 Dashboard Costes por Proyecto Sprint 5 Semana 7 2026-02-11 2026-02-11 1 P1 Pendiente Frontend Gate 7 CE-S5-012 Frontend Lead Breakdown costes operación/modelo coste real-time Bajo apps/web/src/components/CostDashboard.tsx</v>
      </c>
      <c r="W96" t="s">
        <v>785</v>
      </c>
    </row>
    <row r="97" spans="1:23" x14ac:dyDescent="0.3">
      <c r="A97" s="15" t="s">
        <v>441</v>
      </c>
      <c r="B97" s="15" t="s">
        <v>442</v>
      </c>
      <c r="C97" s="15" t="s">
        <v>21</v>
      </c>
      <c r="D97" s="15" t="s">
        <v>419</v>
      </c>
      <c r="E97" s="15" t="s">
        <v>434</v>
      </c>
      <c r="F97" s="15" t="s">
        <v>434</v>
      </c>
      <c r="G97" s="15">
        <v>1</v>
      </c>
      <c r="H97" s="12" t="s">
        <v>16</v>
      </c>
      <c r="I97" s="15" t="s">
        <v>74</v>
      </c>
      <c r="J97" s="15" t="s">
        <v>75</v>
      </c>
      <c r="K97" s="15" t="s">
        <v>48</v>
      </c>
      <c r="L97" s="15" t="s">
        <v>182</v>
      </c>
      <c r="M97" s="15" t="s">
        <v>77</v>
      </c>
      <c r="N97" s="15" t="s">
        <v>443</v>
      </c>
      <c r="O97" s="15" t="s">
        <v>95</v>
      </c>
      <c r="P97" s="15" t="s">
        <v>444</v>
      </c>
      <c r="Q97" s="15">
        <v>2</v>
      </c>
      <c r="V97" t="str">
        <f t="shared" si="1"/>
        <v>CE-S7-006 Batch Processing Múltiples Docs Sprint 5 Semana 7 2026-02-11 2026-02-11 1 P1 Pendiente Backend Gate 7 CE-S3-006 Backend Lead 3 docs &lt;3x individual descuento contexto Medio apps/api/src/tasks/batch_processing.py</v>
      </c>
      <c r="W97" t="s">
        <v>786</v>
      </c>
    </row>
    <row r="98" spans="1:23" x14ac:dyDescent="0.3">
      <c r="A98" s="15" t="s">
        <v>445</v>
      </c>
      <c r="B98" s="15" t="s">
        <v>446</v>
      </c>
      <c r="C98" s="15" t="s">
        <v>21</v>
      </c>
      <c r="D98" s="15" t="s">
        <v>419</v>
      </c>
      <c r="E98" s="15" t="s">
        <v>429</v>
      </c>
      <c r="F98" s="15" t="s">
        <v>429</v>
      </c>
      <c r="G98" s="15">
        <v>1</v>
      </c>
      <c r="H98" s="12" t="s">
        <v>16</v>
      </c>
      <c r="I98" s="15" t="s">
        <v>74</v>
      </c>
      <c r="J98" s="15" t="s">
        <v>99</v>
      </c>
      <c r="K98" s="15" t="s">
        <v>41</v>
      </c>
      <c r="L98" s="15" t="s">
        <v>111</v>
      </c>
      <c r="M98" s="15" t="s">
        <v>100</v>
      </c>
      <c r="N98" s="15" t="s">
        <v>447</v>
      </c>
      <c r="O98" s="15" t="s">
        <v>95</v>
      </c>
      <c r="P98" s="15" t="s">
        <v>448</v>
      </c>
      <c r="Q98" s="15">
        <v>2</v>
      </c>
      <c r="V98" t="str">
        <f t="shared" si="1"/>
        <v>CE-S7-007 Prompt Generación RACI Sprint 5 Semana 7 2026-02-10 2026-02-10 1 P1 Pendiente AI Gate 5 CE-S2-008 AI Lead Mapeo stakeholder WBS razonamiento RACI coherente Medio prompts/v1/raci_generation.md</v>
      </c>
      <c r="W98" t="s">
        <v>787</v>
      </c>
    </row>
    <row r="99" spans="1:23" x14ac:dyDescent="0.3">
      <c r="A99" s="15" t="s">
        <v>449</v>
      </c>
      <c r="B99" s="15" t="s">
        <v>450</v>
      </c>
      <c r="C99" s="15" t="s">
        <v>21</v>
      </c>
      <c r="D99" s="15" t="s">
        <v>419</v>
      </c>
      <c r="E99" s="15" t="s">
        <v>451</v>
      </c>
      <c r="F99" s="15" t="s">
        <v>451</v>
      </c>
      <c r="G99" s="15">
        <v>1</v>
      </c>
      <c r="H99" s="16" t="s">
        <v>17</v>
      </c>
      <c r="I99" s="15" t="s">
        <v>74</v>
      </c>
      <c r="J99" s="15" t="s">
        <v>99</v>
      </c>
      <c r="K99" s="15"/>
      <c r="L99" s="15" t="s">
        <v>111</v>
      </c>
      <c r="M99" s="15" t="s">
        <v>100</v>
      </c>
      <c r="N99" s="15" t="s">
        <v>452</v>
      </c>
      <c r="O99" s="15" t="s">
        <v>79</v>
      </c>
      <c r="P99" s="15" t="s">
        <v>453</v>
      </c>
      <c r="Q99" s="15">
        <v>2</v>
      </c>
      <c r="V99" t="str">
        <f t="shared" si="1"/>
        <v>CE-S7-008 A/B Testing Prompts Framework Sprint 5 Semana 7 2026-02-12 2026-02-12 1 P2 Pendiente AI  CE-S2-008 AI Lead Framework comparar versiones métricas auto Bajo apps/api/src/ai/ab_testing.py</v>
      </c>
      <c r="W99" t="s">
        <v>788</v>
      </c>
    </row>
    <row r="100" spans="1:23" x14ac:dyDescent="0.3">
      <c r="A100" s="15" t="s">
        <v>454</v>
      </c>
      <c r="B100" s="15" t="s">
        <v>455</v>
      </c>
      <c r="C100" s="15" t="s">
        <v>21</v>
      </c>
      <c r="D100" s="15" t="s">
        <v>419</v>
      </c>
      <c r="E100" s="15" t="s">
        <v>451</v>
      </c>
      <c r="F100" s="15" t="s">
        <v>451</v>
      </c>
      <c r="G100" s="15">
        <v>1</v>
      </c>
      <c r="H100" s="12" t="s">
        <v>16</v>
      </c>
      <c r="I100" s="15" t="s">
        <v>74</v>
      </c>
      <c r="J100" s="15" t="s">
        <v>99</v>
      </c>
      <c r="K100" s="15" t="s">
        <v>41</v>
      </c>
      <c r="L100" s="15" t="s">
        <v>456</v>
      </c>
      <c r="M100" s="15" t="s">
        <v>100</v>
      </c>
      <c r="N100" s="15" t="s">
        <v>457</v>
      </c>
      <c r="O100" s="15" t="s">
        <v>95</v>
      </c>
      <c r="P100" s="15" t="s">
        <v>458</v>
      </c>
      <c r="Q100" s="15">
        <v>2</v>
      </c>
    </row>
    <row r="101" spans="1:23" x14ac:dyDescent="0.3">
      <c r="A101" s="15" t="s">
        <v>459</v>
      </c>
      <c r="B101" s="15" t="s">
        <v>460</v>
      </c>
      <c r="C101" s="15" t="s">
        <v>21</v>
      </c>
      <c r="D101" s="15" t="s">
        <v>419</v>
      </c>
      <c r="E101" s="15" t="s">
        <v>420</v>
      </c>
      <c r="F101" s="15" t="s">
        <v>429</v>
      </c>
      <c r="G101" s="15">
        <v>2</v>
      </c>
      <c r="H101" s="12" t="s">
        <v>16</v>
      </c>
      <c r="I101" s="15" t="s">
        <v>74</v>
      </c>
      <c r="J101" s="15" t="s">
        <v>126</v>
      </c>
      <c r="K101" s="15" t="s">
        <v>38</v>
      </c>
      <c r="L101" s="15" t="s">
        <v>400</v>
      </c>
      <c r="M101" s="15" t="s">
        <v>127</v>
      </c>
      <c r="N101" s="15" t="s">
        <v>461</v>
      </c>
      <c r="O101" s="15" t="s">
        <v>95</v>
      </c>
      <c r="P101" s="15" t="s">
        <v>462</v>
      </c>
      <c r="Q101" s="15">
        <v>3</v>
      </c>
    </row>
    <row r="102" spans="1:23" x14ac:dyDescent="0.3">
      <c r="A102" s="15" t="s">
        <v>463</v>
      </c>
      <c r="B102" s="15" t="s">
        <v>464</v>
      </c>
      <c r="C102" s="15" t="s">
        <v>21</v>
      </c>
      <c r="D102" s="15" t="s">
        <v>419</v>
      </c>
      <c r="E102" s="15" t="s">
        <v>429</v>
      </c>
      <c r="F102" s="15" t="s">
        <v>429</v>
      </c>
      <c r="G102" s="15">
        <v>0.5</v>
      </c>
      <c r="H102" s="11" t="s">
        <v>15</v>
      </c>
      <c r="I102" s="15" t="s">
        <v>74</v>
      </c>
      <c r="J102" s="15" t="s">
        <v>126</v>
      </c>
      <c r="K102" s="15"/>
      <c r="L102" s="15" t="s">
        <v>351</v>
      </c>
      <c r="M102" s="15" t="s">
        <v>127</v>
      </c>
      <c r="N102" s="15" t="s">
        <v>465</v>
      </c>
      <c r="O102" s="15" t="s">
        <v>79</v>
      </c>
      <c r="P102" s="15" t="s">
        <v>466</v>
      </c>
      <c r="Q102" s="15">
        <v>1</v>
      </c>
    </row>
    <row r="103" spans="1:23" x14ac:dyDescent="0.3">
      <c r="A103" s="15" t="s">
        <v>467</v>
      </c>
      <c r="B103" s="15" t="s">
        <v>468</v>
      </c>
      <c r="C103" s="15" t="s">
        <v>21</v>
      </c>
      <c r="D103" s="15" t="s">
        <v>419</v>
      </c>
      <c r="E103" s="15" t="s">
        <v>434</v>
      </c>
      <c r="F103" s="15" t="s">
        <v>434</v>
      </c>
      <c r="G103" s="15">
        <v>1</v>
      </c>
      <c r="H103" s="12" t="s">
        <v>16</v>
      </c>
      <c r="I103" s="15" t="s">
        <v>74</v>
      </c>
      <c r="J103" s="15" t="s">
        <v>75</v>
      </c>
      <c r="K103" s="15" t="s">
        <v>38</v>
      </c>
      <c r="L103" s="15" t="s">
        <v>400</v>
      </c>
      <c r="M103" s="15" t="s">
        <v>77</v>
      </c>
      <c r="N103" s="15" t="s">
        <v>469</v>
      </c>
      <c r="O103" s="15" t="s">
        <v>95</v>
      </c>
      <c r="P103" s="15" t="s">
        <v>470</v>
      </c>
      <c r="Q103" s="15">
        <v>2</v>
      </c>
    </row>
    <row r="104" spans="1:23" ht="28.8" x14ac:dyDescent="0.3">
      <c r="A104" s="15" t="s">
        <v>471</v>
      </c>
      <c r="B104" s="15" t="s">
        <v>472</v>
      </c>
      <c r="C104" s="15" t="s">
        <v>21</v>
      </c>
      <c r="D104" s="15" t="s">
        <v>419</v>
      </c>
      <c r="E104" s="15" t="s">
        <v>451</v>
      </c>
      <c r="F104" s="15" t="s">
        <v>451</v>
      </c>
      <c r="G104" s="15">
        <v>0.5</v>
      </c>
      <c r="H104" s="11" t="s">
        <v>15</v>
      </c>
      <c r="I104" s="15" t="s">
        <v>74</v>
      </c>
      <c r="J104" s="15" t="s">
        <v>188</v>
      </c>
      <c r="K104" s="15"/>
      <c r="L104" s="15" t="s">
        <v>473</v>
      </c>
      <c r="M104" s="15" t="s">
        <v>77</v>
      </c>
      <c r="N104" s="15" t="s">
        <v>474</v>
      </c>
      <c r="O104" s="15" t="s">
        <v>79</v>
      </c>
      <c r="P104" s="15" t="s">
        <v>475</v>
      </c>
      <c r="Q104" s="15">
        <v>1</v>
      </c>
    </row>
    <row r="105" spans="1:23" x14ac:dyDescent="0.3">
      <c r="A105" s="15" t="s">
        <v>476</v>
      </c>
      <c r="B105" s="15" t="s">
        <v>477</v>
      </c>
      <c r="C105" s="15" t="s">
        <v>21</v>
      </c>
      <c r="D105" s="15" t="s">
        <v>419</v>
      </c>
      <c r="E105" s="15" t="s">
        <v>451</v>
      </c>
      <c r="F105" s="15" t="s">
        <v>451</v>
      </c>
      <c r="G105" s="15">
        <v>0.5</v>
      </c>
      <c r="H105" s="11" t="s">
        <v>15</v>
      </c>
      <c r="I105" s="15" t="s">
        <v>74</v>
      </c>
      <c r="J105" s="15" t="s">
        <v>188</v>
      </c>
      <c r="K105" s="15"/>
      <c r="L105" s="15" t="s">
        <v>76</v>
      </c>
      <c r="M105" s="15" t="s">
        <v>77</v>
      </c>
      <c r="N105" s="15" t="s">
        <v>478</v>
      </c>
      <c r="O105" s="15" t="s">
        <v>79</v>
      </c>
      <c r="P105" s="15" t="s">
        <v>479</v>
      </c>
      <c r="Q105" s="15">
        <v>1</v>
      </c>
    </row>
    <row r="106" spans="1:23" ht="409.6" x14ac:dyDescent="0.3">
      <c r="A106" s="15" t="s">
        <v>480</v>
      </c>
      <c r="B106" s="15" t="s">
        <v>481</v>
      </c>
      <c r="C106" s="15" t="s">
        <v>21</v>
      </c>
      <c r="D106" s="15" t="s">
        <v>419</v>
      </c>
      <c r="E106" s="15" t="s">
        <v>434</v>
      </c>
      <c r="F106" s="15" t="s">
        <v>434</v>
      </c>
      <c r="G106" s="15">
        <v>1</v>
      </c>
      <c r="H106" s="12" t="s">
        <v>16</v>
      </c>
      <c r="I106" s="15" t="s">
        <v>74</v>
      </c>
      <c r="J106" s="15" t="s">
        <v>75</v>
      </c>
      <c r="K106" s="15"/>
      <c r="L106" s="15" t="s">
        <v>233</v>
      </c>
      <c r="M106" s="15" t="s">
        <v>77</v>
      </c>
      <c r="N106" s="15" t="s">
        <v>482</v>
      </c>
      <c r="O106" s="15" t="s">
        <v>95</v>
      </c>
      <c r="P106" s="15" t="s">
        <v>483</v>
      </c>
      <c r="Q106" s="15">
        <v>2</v>
      </c>
      <c r="R106" s="24" t="s">
        <v>698</v>
      </c>
    </row>
    <row r="107" spans="1:23" x14ac:dyDescent="0.3">
      <c r="A107" s="15" t="s">
        <v>484</v>
      </c>
      <c r="B107" s="15" t="s">
        <v>485</v>
      </c>
      <c r="C107" s="15" t="s">
        <v>21</v>
      </c>
      <c r="D107" s="15" t="s">
        <v>486</v>
      </c>
      <c r="E107" s="15" t="s">
        <v>487</v>
      </c>
      <c r="F107" s="15" t="s">
        <v>487</v>
      </c>
      <c r="G107" s="15">
        <v>1</v>
      </c>
      <c r="H107" s="11" t="s">
        <v>15</v>
      </c>
      <c r="I107" s="15" t="s">
        <v>74</v>
      </c>
      <c r="J107" s="15" t="s">
        <v>93</v>
      </c>
      <c r="K107" s="15"/>
      <c r="L107" s="15" t="s">
        <v>134</v>
      </c>
      <c r="M107" s="15" t="s">
        <v>93</v>
      </c>
      <c r="N107" s="15" t="s">
        <v>488</v>
      </c>
      <c r="O107" s="15" t="s">
        <v>95</v>
      </c>
      <c r="P107" s="15" t="s">
        <v>489</v>
      </c>
      <c r="Q107" s="15">
        <v>2</v>
      </c>
    </row>
    <row r="108" spans="1:23" x14ac:dyDescent="0.3">
      <c r="A108" s="15" t="s">
        <v>490</v>
      </c>
      <c r="B108" s="15" t="s">
        <v>491</v>
      </c>
      <c r="C108" s="15" t="s">
        <v>21</v>
      </c>
      <c r="D108" s="15" t="s">
        <v>486</v>
      </c>
      <c r="E108" s="15" t="s">
        <v>487</v>
      </c>
      <c r="F108" s="15" t="s">
        <v>487</v>
      </c>
      <c r="G108" s="15">
        <v>1</v>
      </c>
      <c r="H108" s="11" t="s">
        <v>15</v>
      </c>
      <c r="I108" s="15" t="s">
        <v>74</v>
      </c>
      <c r="J108" s="15" t="s">
        <v>93</v>
      </c>
      <c r="K108" s="15" t="s">
        <v>48</v>
      </c>
      <c r="L108" s="15" t="s">
        <v>194</v>
      </c>
      <c r="M108" s="15" t="s">
        <v>93</v>
      </c>
      <c r="N108" s="15" t="s">
        <v>492</v>
      </c>
      <c r="O108" s="15" t="s">
        <v>95</v>
      </c>
      <c r="P108" s="15" t="s">
        <v>493</v>
      </c>
      <c r="Q108" s="15">
        <v>2</v>
      </c>
    </row>
    <row r="109" spans="1:23" x14ac:dyDescent="0.3">
      <c r="A109" s="15" t="s">
        <v>494</v>
      </c>
      <c r="B109" s="15" t="s">
        <v>495</v>
      </c>
      <c r="C109" s="15" t="s">
        <v>21</v>
      </c>
      <c r="D109" s="15" t="s">
        <v>486</v>
      </c>
      <c r="E109" s="15" t="s">
        <v>496</v>
      </c>
      <c r="F109" s="15" t="s">
        <v>496</v>
      </c>
      <c r="G109" s="15">
        <v>0.5</v>
      </c>
      <c r="H109" s="12" t="s">
        <v>16</v>
      </c>
      <c r="I109" s="15" t="s">
        <v>74</v>
      </c>
      <c r="J109" s="15" t="s">
        <v>250</v>
      </c>
      <c r="K109" s="15"/>
      <c r="L109" s="15" t="s">
        <v>76</v>
      </c>
      <c r="M109" s="15" t="s">
        <v>93</v>
      </c>
      <c r="N109" s="15" t="s">
        <v>497</v>
      </c>
      <c r="O109" s="15" t="s">
        <v>79</v>
      </c>
      <c r="P109" s="15" t="s">
        <v>493</v>
      </c>
      <c r="Q109" s="15">
        <v>1</v>
      </c>
    </row>
    <row r="110" spans="1:23" x14ac:dyDescent="0.3">
      <c r="A110" s="15" t="s">
        <v>498</v>
      </c>
      <c r="B110" s="15" t="s">
        <v>499</v>
      </c>
      <c r="C110" s="15" t="s">
        <v>21</v>
      </c>
      <c r="D110" s="15" t="s">
        <v>486</v>
      </c>
      <c r="E110" s="15" t="s">
        <v>487</v>
      </c>
      <c r="F110" s="15" t="s">
        <v>487</v>
      </c>
      <c r="G110" s="15">
        <v>1</v>
      </c>
      <c r="H110" s="12" t="s">
        <v>16</v>
      </c>
      <c r="I110" s="15" t="s">
        <v>74</v>
      </c>
      <c r="J110" s="15" t="s">
        <v>250</v>
      </c>
      <c r="K110" s="15"/>
      <c r="L110" s="15" t="s">
        <v>76</v>
      </c>
      <c r="M110" s="15" t="s">
        <v>500</v>
      </c>
      <c r="N110" s="15" t="s">
        <v>501</v>
      </c>
      <c r="O110" s="15" t="s">
        <v>79</v>
      </c>
      <c r="P110" s="15" t="s">
        <v>502</v>
      </c>
      <c r="Q110" s="15">
        <v>2</v>
      </c>
    </row>
    <row r="111" spans="1:23" x14ac:dyDescent="0.3">
      <c r="A111" s="15" t="s">
        <v>503</v>
      </c>
      <c r="B111" s="15" t="s">
        <v>504</v>
      </c>
      <c r="C111" s="15" t="s">
        <v>21</v>
      </c>
      <c r="D111" s="15" t="s">
        <v>486</v>
      </c>
      <c r="E111" s="15" t="s">
        <v>487</v>
      </c>
      <c r="F111" s="15" t="s">
        <v>487</v>
      </c>
      <c r="G111" s="15">
        <v>0.5</v>
      </c>
      <c r="H111" s="12" t="s">
        <v>16</v>
      </c>
      <c r="I111" s="15" t="s">
        <v>74</v>
      </c>
      <c r="J111" s="15" t="s">
        <v>93</v>
      </c>
      <c r="K111" s="15"/>
      <c r="L111" s="15" t="s">
        <v>76</v>
      </c>
      <c r="M111" s="15" t="s">
        <v>93</v>
      </c>
      <c r="N111" s="15" t="s">
        <v>505</v>
      </c>
      <c r="O111" s="15" t="s">
        <v>79</v>
      </c>
      <c r="P111" s="15" t="s">
        <v>506</v>
      </c>
      <c r="Q111" s="15">
        <v>1</v>
      </c>
    </row>
    <row r="112" spans="1:23" x14ac:dyDescent="0.3">
      <c r="A112" s="15" t="s">
        <v>507</v>
      </c>
      <c r="B112" s="15" t="s">
        <v>508</v>
      </c>
      <c r="C112" s="15" t="s">
        <v>21</v>
      </c>
      <c r="D112" s="15" t="s">
        <v>486</v>
      </c>
      <c r="E112" s="15" t="s">
        <v>496</v>
      </c>
      <c r="F112" s="15" t="s">
        <v>509</v>
      </c>
      <c r="G112" s="15">
        <v>2</v>
      </c>
      <c r="H112" s="11" t="s">
        <v>15</v>
      </c>
      <c r="I112" s="15" t="s">
        <v>74</v>
      </c>
      <c r="J112" s="15" t="s">
        <v>145</v>
      </c>
      <c r="K112" s="15"/>
      <c r="L112" s="15" t="s">
        <v>510</v>
      </c>
      <c r="M112" s="15" t="s">
        <v>146</v>
      </c>
      <c r="N112" s="15" t="s">
        <v>511</v>
      </c>
      <c r="O112" s="15" t="s">
        <v>176</v>
      </c>
      <c r="P112" s="15" t="s">
        <v>512</v>
      </c>
      <c r="Q112" s="15">
        <v>3</v>
      </c>
    </row>
    <row r="113" spans="1:17" x14ac:dyDescent="0.3">
      <c r="A113" s="15" t="s">
        <v>513</v>
      </c>
      <c r="B113" s="15" t="s">
        <v>514</v>
      </c>
      <c r="C113" s="15" t="s">
        <v>21</v>
      </c>
      <c r="D113" s="15" t="s">
        <v>486</v>
      </c>
      <c r="E113" s="15" t="s">
        <v>509</v>
      </c>
      <c r="F113" s="15" t="s">
        <v>509</v>
      </c>
      <c r="G113" s="15">
        <v>1</v>
      </c>
      <c r="H113" s="11" t="s">
        <v>15</v>
      </c>
      <c r="I113" s="15" t="s">
        <v>74</v>
      </c>
      <c r="J113" s="15" t="s">
        <v>145</v>
      </c>
      <c r="K113" s="15"/>
      <c r="L113" s="15" t="s">
        <v>515</v>
      </c>
      <c r="M113" s="15" t="s">
        <v>146</v>
      </c>
      <c r="N113" s="15" t="s">
        <v>516</v>
      </c>
      <c r="O113" s="15" t="s">
        <v>176</v>
      </c>
      <c r="P113" s="15" t="s">
        <v>517</v>
      </c>
      <c r="Q113" s="15">
        <v>2</v>
      </c>
    </row>
    <row r="114" spans="1:17" x14ac:dyDescent="0.3">
      <c r="A114" s="15" t="s">
        <v>518</v>
      </c>
      <c r="B114" s="15" t="s">
        <v>519</v>
      </c>
      <c r="C114" s="15" t="s">
        <v>21</v>
      </c>
      <c r="D114" s="15" t="s">
        <v>486</v>
      </c>
      <c r="E114" s="15" t="s">
        <v>496</v>
      </c>
      <c r="F114" s="15" t="s">
        <v>496</v>
      </c>
      <c r="G114" s="15">
        <v>1</v>
      </c>
      <c r="H114" s="12" t="s">
        <v>16</v>
      </c>
      <c r="I114" s="15" t="s">
        <v>74</v>
      </c>
      <c r="J114" s="15" t="s">
        <v>140</v>
      </c>
      <c r="K114" s="15"/>
      <c r="L114" s="15" t="s">
        <v>405</v>
      </c>
      <c r="M114" s="15" t="s">
        <v>77</v>
      </c>
      <c r="N114" s="15" t="s">
        <v>520</v>
      </c>
      <c r="O114" s="15" t="s">
        <v>95</v>
      </c>
      <c r="P114" s="15" t="s">
        <v>408</v>
      </c>
      <c r="Q114" s="15">
        <v>2</v>
      </c>
    </row>
    <row r="115" spans="1:17" x14ac:dyDescent="0.3">
      <c r="A115" s="15" t="s">
        <v>521</v>
      </c>
      <c r="B115" s="15" t="s">
        <v>522</v>
      </c>
      <c r="C115" s="15" t="s">
        <v>21</v>
      </c>
      <c r="D115" s="15" t="s">
        <v>486</v>
      </c>
      <c r="E115" s="15" t="s">
        <v>496</v>
      </c>
      <c r="F115" s="15" t="s">
        <v>496</v>
      </c>
      <c r="G115" s="15">
        <v>0.5</v>
      </c>
      <c r="H115" s="12" t="s">
        <v>16</v>
      </c>
      <c r="I115" s="15" t="s">
        <v>74</v>
      </c>
      <c r="J115" s="15" t="s">
        <v>93</v>
      </c>
      <c r="K115" s="15"/>
      <c r="L115" s="15" t="s">
        <v>76</v>
      </c>
      <c r="M115" s="15" t="s">
        <v>93</v>
      </c>
      <c r="N115" s="15" t="s">
        <v>523</v>
      </c>
      <c r="O115" s="15" t="s">
        <v>79</v>
      </c>
      <c r="P115" s="15" t="s">
        <v>524</v>
      </c>
      <c r="Q115" s="15">
        <v>1</v>
      </c>
    </row>
    <row r="116" spans="1:17" x14ac:dyDescent="0.3">
      <c r="A116" s="15" t="s">
        <v>525</v>
      </c>
      <c r="B116" s="15" t="s">
        <v>526</v>
      </c>
      <c r="C116" s="15" t="s">
        <v>21</v>
      </c>
      <c r="D116" s="15" t="s">
        <v>486</v>
      </c>
      <c r="E116" s="15" t="s">
        <v>509</v>
      </c>
      <c r="F116" s="15" t="s">
        <v>509</v>
      </c>
      <c r="G116" s="15">
        <v>1</v>
      </c>
      <c r="H116" s="12" t="s">
        <v>16</v>
      </c>
      <c r="I116" s="15" t="s">
        <v>74</v>
      </c>
      <c r="J116" s="15" t="s">
        <v>145</v>
      </c>
      <c r="K116" s="15"/>
      <c r="L116" s="15" t="s">
        <v>202</v>
      </c>
      <c r="M116" s="15" t="s">
        <v>146</v>
      </c>
      <c r="N116" s="15" t="s">
        <v>527</v>
      </c>
      <c r="O116" s="15" t="s">
        <v>95</v>
      </c>
      <c r="P116" s="15" t="s">
        <v>528</v>
      </c>
      <c r="Q116" s="15">
        <v>2</v>
      </c>
    </row>
    <row r="117" spans="1:17" x14ac:dyDescent="0.3">
      <c r="A117" s="15" t="s">
        <v>529</v>
      </c>
      <c r="B117" s="15" t="s">
        <v>530</v>
      </c>
      <c r="C117" s="15" t="s">
        <v>21</v>
      </c>
      <c r="D117" s="15" t="s">
        <v>486</v>
      </c>
      <c r="E117" s="15" t="s">
        <v>509</v>
      </c>
      <c r="F117" s="15" t="s">
        <v>509</v>
      </c>
      <c r="G117" s="15">
        <v>1</v>
      </c>
      <c r="H117" s="12" t="s">
        <v>16</v>
      </c>
      <c r="I117" s="15" t="s">
        <v>74</v>
      </c>
      <c r="J117" s="15" t="s">
        <v>145</v>
      </c>
      <c r="K117" s="15"/>
      <c r="L117" s="15" t="s">
        <v>409</v>
      </c>
      <c r="M117" s="15" t="s">
        <v>146</v>
      </c>
      <c r="N117" s="15" t="s">
        <v>531</v>
      </c>
      <c r="O117" s="15" t="s">
        <v>176</v>
      </c>
      <c r="P117" s="15" t="s">
        <v>532</v>
      </c>
      <c r="Q117" s="15">
        <v>2</v>
      </c>
    </row>
    <row r="118" spans="1:17" ht="28.8" x14ac:dyDescent="0.3">
      <c r="A118" s="15" t="s">
        <v>533</v>
      </c>
      <c r="B118" s="15" t="s">
        <v>534</v>
      </c>
      <c r="C118" s="15" t="s">
        <v>21</v>
      </c>
      <c r="D118" s="15" t="s">
        <v>486</v>
      </c>
      <c r="E118" s="15" t="s">
        <v>496</v>
      </c>
      <c r="F118" s="15" t="s">
        <v>509</v>
      </c>
      <c r="G118" s="15">
        <v>2</v>
      </c>
      <c r="H118" s="11" t="s">
        <v>15</v>
      </c>
      <c r="I118" s="15" t="s">
        <v>74</v>
      </c>
      <c r="J118" s="15" t="s">
        <v>145</v>
      </c>
      <c r="K118" s="15"/>
      <c r="L118" s="15" t="s">
        <v>535</v>
      </c>
      <c r="M118" s="15" t="s">
        <v>146</v>
      </c>
      <c r="N118" s="15" t="s">
        <v>536</v>
      </c>
      <c r="O118" s="15" t="s">
        <v>95</v>
      </c>
      <c r="P118" s="15" t="s">
        <v>537</v>
      </c>
      <c r="Q118" s="15">
        <v>3</v>
      </c>
    </row>
    <row r="119" spans="1:17" x14ac:dyDescent="0.3">
      <c r="A119" s="17" t="s">
        <v>538</v>
      </c>
      <c r="B119" s="17" t="s">
        <v>539</v>
      </c>
      <c r="C119" s="17" t="s">
        <v>22</v>
      </c>
      <c r="D119" s="17" t="s">
        <v>540</v>
      </c>
      <c r="E119" s="17" t="s">
        <v>541</v>
      </c>
      <c r="F119" s="17" t="s">
        <v>541</v>
      </c>
      <c r="G119" s="17">
        <v>1</v>
      </c>
      <c r="H119" s="11" t="s">
        <v>15</v>
      </c>
      <c r="I119" s="17" t="s">
        <v>74</v>
      </c>
      <c r="J119" s="17" t="s">
        <v>173</v>
      </c>
      <c r="K119" s="17" t="s">
        <v>542</v>
      </c>
      <c r="L119" s="17" t="s">
        <v>76</v>
      </c>
      <c r="M119" s="17" t="s">
        <v>174</v>
      </c>
      <c r="N119" s="17" t="s">
        <v>543</v>
      </c>
      <c r="O119" s="17" t="s">
        <v>176</v>
      </c>
      <c r="P119" s="17" t="s">
        <v>544</v>
      </c>
      <c r="Q119" s="17">
        <v>2</v>
      </c>
    </row>
    <row r="120" spans="1:17" ht="57.6" x14ac:dyDescent="0.3">
      <c r="A120" s="17" t="s">
        <v>545</v>
      </c>
      <c r="B120" s="17" t="s">
        <v>546</v>
      </c>
      <c r="C120" s="17" t="s">
        <v>22</v>
      </c>
      <c r="D120" s="17" t="s">
        <v>540</v>
      </c>
      <c r="E120" s="17" t="s">
        <v>541</v>
      </c>
      <c r="F120" s="17" t="s">
        <v>541</v>
      </c>
      <c r="G120" s="17">
        <v>1</v>
      </c>
      <c r="H120" s="11" t="s">
        <v>15</v>
      </c>
      <c r="I120" s="17" t="s">
        <v>74</v>
      </c>
      <c r="J120" s="17" t="s">
        <v>145</v>
      </c>
      <c r="K120" s="17" t="s">
        <v>41</v>
      </c>
      <c r="L120" s="17" t="s">
        <v>143</v>
      </c>
      <c r="M120" s="17" t="s">
        <v>547</v>
      </c>
      <c r="N120" s="17" t="s">
        <v>176</v>
      </c>
      <c r="O120" s="17" t="s">
        <v>548</v>
      </c>
      <c r="P120" s="17" t="s">
        <v>549</v>
      </c>
      <c r="Q120" s="17"/>
    </row>
    <row r="121" spans="1:17" x14ac:dyDescent="0.3">
      <c r="A121" s="17" t="s">
        <v>550</v>
      </c>
      <c r="B121" s="17" t="s">
        <v>551</v>
      </c>
      <c r="C121" s="17" t="s">
        <v>22</v>
      </c>
      <c r="D121" s="17" t="s">
        <v>540</v>
      </c>
      <c r="E121" s="17" t="s">
        <v>552</v>
      </c>
      <c r="F121" s="17" t="s">
        <v>552</v>
      </c>
      <c r="G121" s="17">
        <v>1</v>
      </c>
      <c r="H121" s="11" t="s">
        <v>15</v>
      </c>
      <c r="I121" s="17" t="s">
        <v>74</v>
      </c>
      <c r="J121" s="17" t="s">
        <v>145</v>
      </c>
      <c r="K121" s="17"/>
      <c r="L121" s="17" t="s">
        <v>513</v>
      </c>
      <c r="M121" s="17" t="s">
        <v>146</v>
      </c>
      <c r="N121" s="17" t="s">
        <v>553</v>
      </c>
      <c r="O121" s="17" t="s">
        <v>176</v>
      </c>
      <c r="P121" s="17" t="s">
        <v>554</v>
      </c>
      <c r="Q121" s="17">
        <v>2</v>
      </c>
    </row>
    <row r="122" spans="1:17" x14ac:dyDescent="0.3">
      <c r="A122" s="17" t="s">
        <v>555</v>
      </c>
      <c r="B122" s="17" t="s">
        <v>556</v>
      </c>
      <c r="C122" s="17" t="s">
        <v>22</v>
      </c>
      <c r="D122" s="17" t="s">
        <v>540</v>
      </c>
      <c r="E122" s="17" t="s">
        <v>552</v>
      </c>
      <c r="F122" s="17" t="s">
        <v>552</v>
      </c>
      <c r="G122" s="17">
        <v>1</v>
      </c>
      <c r="H122" s="11" t="s">
        <v>15</v>
      </c>
      <c r="I122" s="17" t="s">
        <v>74</v>
      </c>
      <c r="J122" s="17" t="s">
        <v>173</v>
      </c>
      <c r="K122" s="17" t="s">
        <v>28</v>
      </c>
      <c r="L122" s="17" t="s">
        <v>538</v>
      </c>
      <c r="M122" s="17" t="s">
        <v>174</v>
      </c>
      <c r="N122" s="17" t="s">
        <v>557</v>
      </c>
      <c r="O122" s="17" t="s">
        <v>558</v>
      </c>
      <c r="P122" s="17" t="s">
        <v>559</v>
      </c>
      <c r="Q122" s="17">
        <v>2</v>
      </c>
    </row>
    <row r="123" spans="1:17" x14ac:dyDescent="0.3">
      <c r="A123" s="17" t="s">
        <v>560</v>
      </c>
      <c r="B123" s="17" t="s">
        <v>561</v>
      </c>
      <c r="C123" s="17" t="s">
        <v>22</v>
      </c>
      <c r="D123" s="17" t="s">
        <v>540</v>
      </c>
      <c r="E123" s="17" t="s">
        <v>562</v>
      </c>
      <c r="F123" s="17" t="s">
        <v>562</v>
      </c>
      <c r="G123" s="17">
        <v>1</v>
      </c>
      <c r="H123" s="11" t="s">
        <v>15</v>
      </c>
      <c r="I123" s="17" t="s">
        <v>74</v>
      </c>
      <c r="J123" s="17" t="s">
        <v>93</v>
      </c>
      <c r="K123" s="17"/>
      <c r="L123" s="17" t="s">
        <v>484</v>
      </c>
      <c r="M123" s="17" t="s">
        <v>93</v>
      </c>
      <c r="N123" s="17" t="s">
        <v>563</v>
      </c>
      <c r="O123" s="17" t="s">
        <v>176</v>
      </c>
      <c r="P123" s="17"/>
      <c r="Q123" s="17">
        <v>2</v>
      </c>
    </row>
    <row r="124" spans="1:17" x14ac:dyDescent="0.3">
      <c r="A124" s="17" t="s">
        <v>564</v>
      </c>
      <c r="B124" s="17" t="s">
        <v>565</v>
      </c>
      <c r="C124" s="17" t="s">
        <v>22</v>
      </c>
      <c r="D124" s="17" t="s">
        <v>540</v>
      </c>
      <c r="E124" s="17" t="s">
        <v>541</v>
      </c>
      <c r="F124" s="17" t="s">
        <v>562</v>
      </c>
      <c r="G124" s="17">
        <v>2</v>
      </c>
      <c r="H124" s="12" t="s">
        <v>16</v>
      </c>
      <c r="I124" s="17" t="s">
        <v>74</v>
      </c>
      <c r="J124" s="17" t="s">
        <v>145</v>
      </c>
      <c r="K124" s="17" t="s">
        <v>41</v>
      </c>
      <c r="L124" s="17" t="s">
        <v>143</v>
      </c>
      <c r="M124" s="17" t="s">
        <v>146</v>
      </c>
      <c r="N124" s="17" t="s">
        <v>566</v>
      </c>
      <c r="O124" s="17" t="s">
        <v>95</v>
      </c>
      <c r="P124" s="17" t="s">
        <v>148</v>
      </c>
      <c r="Q124" s="17">
        <v>3</v>
      </c>
    </row>
    <row r="125" spans="1:17" x14ac:dyDescent="0.3">
      <c r="A125" s="17" t="s">
        <v>567</v>
      </c>
      <c r="B125" s="17" t="s">
        <v>568</v>
      </c>
      <c r="C125" s="17" t="s">
        <v>22</v>
      </c>
      <c r="D125" s="17" t="s">
        <v>540</v>
      </c>
      <c r="E125" s="17" t="s">
        <v>552</v>
      </c>
      <c r="F125" s="17" t="s">
        <v>552</v>
      </c>
      <c r="G125" s="17">
        <v>0.5</v>
      </c>
      <c r="H125" s="12" t="s">
        <v>16</v>
      </c>
      <c r="I125" s="17" t="s">
        <v>74</v>
      </c>
      <c r="J125" s="17" t="s">
        <v>276</v>
      </c>
      <c r="K125" s="17"/>
      <c r="L125" s="17" t="s">
        <v>76</v>
      </c>
      <c r="M125" s="17" t="s">
        <v>77</v>
      </c>
      <c r="N125" s="17" t="s">
        <v>569</v>
      </c>
      <c r="O125" s="17" t="s">
        <v>79</v>
      </c>
      <c r="P125" s="17" t="s">
        <v>570</v>
      </c>
      <c r="Q125" s="17">
        <v>1</v>
      </c>
    </row>
    <row r="126" spans="1:17" ht="28.8" x14ac:dyDescent="0.3">
      <c r="A126" s="17" t="s">
        <v>571</v>
      </c>
      <c r="B126" s="17" t="s">
        <v>572</v>
      </c>
      <c r="C126" s="17" t="s">
        <v>22</v>
      </c>
      <c r="D126" s="17" t="s">
        <v>540</v>
      </c>
      <c r="E126" s="17" t="s">
        <v>562</v>
      </c>
      <c r="F126" s="17" t="s">
        <v>562</v>
      </c>
      <c r="G126" s="17">
        <v>1</v>
      </c>
      <c r="H126" s="16" t="s">
        <v>17</v>
      </c>
      <c r="I126" s="17" t="s">
        <v>74</v>
      </c>
      <c r="J126" s="17" t="s">
        <v>276</v>
      </c>
      <c r="K126" s="17"/>
      <c r="L126" s="17" t="s">
        <v>76</v>
      </c>
      <c r="M126" s="17" t="s">
        <v>77</v>
      </c>
      <c r="N126" s="17" t="s">
        <v>573</v>
      </c>
      <c r="O126" s="17" t="s">
        <v>79</v>
      </c>
      <c r="P126" s="17" t="s">
        <v>574</v>
      </c>
      <c r="Q126" s="17">
        <v>2</v>
      </c>
    </row>
    <row r="127" spans="1:17" x14ac:dyDescent="0.3">
      <c r="A127" s="17" t="s">
        <v>575</v>
      </c>
      <c r="B127" s="17" t="s">
        <v>576</v>
      </c>
      <c r="C127" s="17" t="s">
        <v>22</v>
      </c>
      <c r="D127" s="17" t="s">
        <v>577</v>
      </c>
      <c r="E127" s="17" t="s">
        <v>578</v>
      </c>
      <c r="F127" s="17" t="s">
        <v>579</v>
      </c>
      <c r="G127" s="17">
        <v>2</v>
      </c>
      <c r="H127" s="11" t="s">
        <v>15</v>
      </c>
      <c r="I127" s="17" t="s">
        <v>74</v>
      </c>
      <c r="J127" s="17" t="s">
        <v>580</v>
      </c>
      <c r="K127" s="17"/>
      <c r="L127" s="17" t="s">
        <v>560</v>
      </c>
      <c r="M127" s="17" t="s">
        <v>581</v>
      </c>
      <c r="N127" s="17" t="s">
        <v>582</v>
      </c>
      <c r="O127" s="17" t="s">
        <v>176</v>
      </c>
      <c r="P127" s="17" t="s">
        <v>583</v>
      </c>
      <c r="Q127" s="17">
        <v>3</v>
      </c>
    </row>
    <row r="128" spans="1:17" x14ac:dyDescent="0.3">
      <c r="A128" s="17" t="s">
        <v>584</v>
      </c>
      <c r="B128" s="17" t="s">
        <v>585</v>
      </c>
      <c r="C128" s="17" t="s">
        <v>22</v>
      </c>
      <c r="D128" s="17" t="s">
        <v>577</v>
      </c>
      <c r="E128" s="17" t="s">
        <v>578</v>
      </c>
      <c r="F128" s="17" t="s">
        <v>579</v>
      </c>
      <c r="G128" s="17">
        <v>2</v>
      </c>
      <c r="H128" s="11" t="s">
        <v>15</v>
      </c>
      <c r="I128" s="17" t="s">
        <v>74</v>
      </c>
      <c r="J128" s="17" t="s">
        <v>580</v>
      </c>
      <c r="K128" s="17"/>
      <c r="L128" s="17" t="s">
        <v>560</v>
      </c>
      <c r="M128" s="17" t="s">
        <v>581</v>
      </c>
      <c r="N128" s="17" t="s">
        <v>586</v>
      </c>
      <c r="O128" s="17" t="s">
        <v>176</v>
      </c>
      <c r="P128" s="17" t="s">
        <v>587</v>
      </c>
      <c r="Q128" s="17">
        <v>3</v>
      </c>
    </row>
    <row r="129" spans="1:17" x14ac:dyDescent="0.3">
      <c r="A129" s="17" t="s">
        <v>588</v>
      </c>
      <c r="B129" s="17" t="s">
        <v>589</v>
      </c>
      <c r="C129" s="17" t="s">
        <v>22</v>
      </c>
      <c r="D129" s="17" t="s">
        <v>577</v>
      </c>
      <c r="E129" s="17" t="s">
        <v>590</v>
      </c>
      <c r="F129" s="17" t="s">
        <v>591</v>
      </c>
      <c r="G129" s="17">
        <v>2</v>
      </c>
      <c r="H129" s="11" t="s">
        <v>15</v>
      </c>
      <c r="I129" s="17" t="s">
        <v>74</v>
      </c>
      <c r="J129" s="17" t="s">
        <v>580</v>
      </c>
      <c r="K129" s="17"/>
      <c r="L129" s="17" t="s">
        <v>560</v>
      </c>
      <c r="M129" s="17" t="s">
        <v>581</v>
      </c>
      <c r="N129" s="17" t="s">
        <v>592</v>
      </c>
      <c r="O129" s="17" t="s">
        <v>176</v>
      </c>
      <c r="P129" s="17" t="s">
        <v>593</v>
      </c>
      <c r="Q129" s="17">
        <v>3</v>
      </c>
    </row>
    <row r="130" spans="1:17" x14ac:dyDescent="0.3">
      <c r="A130" s="17" t="s">
        <v>594</v>
      </c>
      <c r="B130" s="17" t="s">
        <v>595</v>
      </c>
      <c r="C130" s="17" t="s">
        <v>22</v>
      </c>
      <c r="D130" s="17" t="s">
        <v>577</v>
      </c>
      <c r="E130" s="17" t="s">
        <v>578</v>
      </c>
      <c r="F130" s="17" t="s">
        <v>579</v>
      </c>
      <c r="G130" s="17">
        <v>2</v>
      </c>
      <c r="H130" s="12" t="s">
        <v>16</v>
      </c>
      <c r="I130" s="17" t="s">
        <v>74</v>
      </c>
      <c r="J130" s="17" t="s">
        <v>250</v>
      </c>
      <c r="K130" s="17"/>
      <c r="L130" s="17" t="s">
        <v>560</v>
      </c>
      <c r="M130" s="17" t="s">
        <v>596</v>
      </c>
      <c r="N130" s="17" t="s">
        <v>597</v>
      </c>
      <c r="O130" s="17" t="s">
        <v>79</v>
      </c>
      <c r="P130" s="17" t="s">
        <v>598</v>
      </c>
      <c r="Q130" s="17">
        <v>3</v>
      </c>
    </row>
    <row r="131" spans="1:17" x14ac:dyDescent="0.3">
      <c r="A131" s="17" t="s">
        <v>599</v>
      </c>
      <c r="B131" s="17" t="s">
        <v>600</v>
      </c>
      <c r="C131" s="17" t="s">
        <v>22</v>
      </c>
      <c r="D131" s="17" t="s">
        <v>577</v>
      </c>
      <c r="E131" s="17" t="s">
        <v>590</v>
      </c>
      <c r="F131" s="17" t="s">
        <v>590</v>
      </c>
      <c r="G131" s="17">
        <v>1</v>
      </c>
      <c r="H131" s="12" t="s">
        <v>16</v>
      </c>
      <c r="I131" s="17" t="s">
        <v>74</v>
      </c>
      <c r="J131" s="17" t="s">
        <v>250</v>
      </c>
      <c r="K131" s="17"/>
      <c r="L131" s="17" t="s">
        <v>471</v>
      </c>
      <c r="M131" s="17" t="s">
        <v>596</v>
      </c>
      <c r="N131" s="17" t="s">
        <v>601</v>
      </c>
      <c r="O131" s="17" t="s">
        <v>79</v>
      </c>
      <c r="P131" s="17" t="s">
        <v>602</v>
      </c>
      <c r="Q131" s="17">
        <v>2</v>
      </c>
    </row>
    <row r="132" spans="1:17" ht="28.8" x14ac:dyDescent="0.3">
      <c r="A132" s="17" t="s">
        <v>603</v>
      </c>
      <c r="B132" s="17" t="s">
        <v>604</v>
      </c>
      <c r="C132" s="17" t="s">
        <v>22</v>
      </c>
      <c r="D132" s="17" t="s">
        <v>577</v>
      </c>
      <c r="E132" s="17" t="s">
        <v>591</v>
      </c>
      <c r="F132" s="17" t="s">
        <v>591</v>
      </c>
      <c r="G132" s="17">
        <v>1</v>
      </c>
      <c r="H132" s="11" t="s">
        <v>15</v>
      </c>
      <c r="I132" s="17" t="s">
        <v>74</v>
      </c>
      <c r="J132" s="17" t="s">
        <v>580</v>
      </c>
      <c r="K132" s="17"/>
      <c r="L132" s="17" t="s">
        <v>605</v>
      </c>
      <c r="M132" s="17" t="s">
        <v>581</v>
      </c>
      <c r="N132" s="17" t="s">
        <v>606</v>
      </c>
      <c r="O132" s="17" t="s">
        <v>176</v>
      </c>
      <c r="P132" s="17" t="s">
        <v>607</v>
      </c>
      <c r="Q132" s="17">
        <v>2</v>
      </c>
    </row>
    <row r="133" spans="1:17" x14ac:dyDescent="0.3">
      <c r="A133" s="17" t="s">
        <v>608</v>
      </c>
      <c r="B133" s="17" t="s">
        <v>609</v>
      </c>
      <c r="C133" s="17" t="s">
        <v>22</v>
      </c>
      <c r="D133" s="17" t="s">
        <v>577</v>
      </c>
      <c r="E133" s="17" t="s">
        <v>579</v>
      </c>
      <c r="F133" s="17" t="s">
        <v>591</v>
      </c>
      <c r="G133" s="17">
        <v>3</v>
      </c>
      <c r="H133" s="11" t="s">
        <v>15</v>
      </c>
      <c r="I133" s="17" t="s">
        <v>74</v>
      </c>
      <c r="J133" s="17" t="s">
        <v>75</v>
      </c>
      <c r="K133" s="17"/>
      <c r="L133" s="17" t="s">
        <v>603</v>
      </c>
      <c r="M133" s="17" t="s">
        <v>500</v>
      </c>
      <c r="N133" s="17" t="s">
        <v>610</v>
      </c>
      <c r="O133" s="17" t="s">
        <v>176</v>
      </c>
      <c r="P133" s="17"/>
      <c r="Q133" s="17">
        <v>5</v>
      </c>
    </row>
    <row r="134" spans="1:17" x14ac:dyDescent="0.3">
      <c r="A134" s="17" t="s">
        <v>611</v>
      </c>
      <c r="B134" s="17" t="s">
        <v>612</v>
      </c>
      <c r="C134" s="17" t="s">
        <v>22</v>
      </c>
      <c r="D134" s="17" t="s">
        <v>577</v>
      </c>
      <c r="E134" s="17" t="s">
        <v>591</v>
      </c>
      <c r="F134" s="17" t="s">
        <v>591</v>
      </c>
      <c r="G134" s="17">
        <v>0.5</v>
      </c>
      <c r="H134" s="12" t="s">
        <v>16</v>
      </c>
      <c r="I134" s="17" t="s">
        <v>74</v>
      </c>
      <c r="J134" s="17" t="s">
        <v>580</v>
      </c>
      <c r="K134" s="17"/>
      <c r="L134" s="17" t="s">
        <v>603</v>
      </c>
      <c r="M134" s="17" t="s">
        <v>581</v>
      </c>
      <c r="N134" s="17" t="s">
        <v>613</v>
      </c>
      <c r="O134" s="17" t="s">
        <v>79</v>
      </c>
      <c r="P134" s="17" t="s">
        <v>614</v>
      </c>
      <c r="Q134" s="17">
        <v>1</v>
      </c>
    </row>
    <row r="138" spans="1:17" x14ac:dyDescent="0.3">
      <c r="C138" s="10"/>
    </row>
    <row r="139" spans="1:17" x14ac:dyDescent="0.3">
      <c r="B139" t="s">
        <v>680</v>
      </c>
    </row>
    <row r="140" spans="1:17" x14ac:dyDescent="0.3">
      <c r="B140" s="13"/>
      <c r="C140" s="13"/>
    </row>
  </sheetData>
  <autoFilter ref="A1:Q13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workbookViewId="0">
      <selection activeCell="B16" sqref="B16"/>
    </sheetView>
  </sheetViews>
  <sheetFormatPr baseColWidth="10" defaultColWidth="8.88671875" defaultRowHeight="14.4" x14ac:dyDescent="0.3"/>
  <cols>
    <col min="1" max="1" width="15" customWidth="1"/>
    <col min="2" max="2" width="50" customWidth="1"/>
    <col min="3" max="3" width="10" customWidth="1"/>
    <col min="4" max="4" width="15" customWidth="1"/>
    <col min="5" max="5" width="12" customWidth="1"/>
    <col min="6" max="6" width="25" customWidth="1"/>
    <col min="7" max="7" width="12" customWidth="1"/>
    <col min="8" max="8" width="10" customWidth="1"/>
  </cols>
  <sheetData>
    <row r="1" spans="1:8" ht="18" x14ac:dyDescent="0.35">
      <c r="A1" s="39" t="s">
        <v>615</v>
      </c>
      <c r="B1" s="38"/>
      <c r="C1" s="38"/>
      <c r="D1" s="38"/>
      <c r="E1" s="38"/>
      <c r="F1" s="38"/>
      <c r="G1" s="38"/>
      <c r="H1" s="38"/>
    </row>
    <row r="2" spans="1:8" x14ac:dyDescent="0.3">
      <c r="A2" s="18" t="s">
        <v>616</v>
      </c>
    </row>
    <row r="4" spans="1:8" x14ac:dyDescent="0.3">
      <c r="A4" s="19" t="s">
        <v>54</v>
      </c>
      <c r="B4" s="19" t="s">
        <v>55</v>
      </c>
      <c r="C4" s="19" t="s">
        <v>60</v>
      </c>
      <c r="D4" s="19" t="s">
        <v>61</v>
      </c>
      <c r="E4" s="19" t="s">
        <v>62</v>
      </c>
      <c r="F4" s="19" t="s">
        <v>63</v>
      </c>
      <c r="G4" s="19" t="s">
        <v>68</v>
      </c>
      <c r="H4" s="19" t="s">
        <v>66</v>
      </c>
    </row>
    <row r="5" spans="1:8" x14ac:dyDescent="0.3">
      <c r="A5" s="8" t="s">
        <v>69</v>
      </c>
      <c r="B5" s="8" t="s">
        <v>70</v>
      </c>
      <c r="C5" s="20" t="s">
        <v>15</v>
      </c>
      <c r="D5" s="8" t="s">
        <v>75</v>
      </c>
      <c r="E5" s="8" t="s">
        <v>41</v>
      </c>
      <c r="F5" s="8" t="s">
        <v>76</v>
      </c>
      <c r="G5" s="8">
        <v>3</v>
      </c>
      <c r="H5" s="8" t="s">
        <v>79</v>
      </c>
    </row>
    <row r="6" spans="1:8" x14ac:dyDescent="0.3">
      <c r="A6" s="8" t="s">
        <v>81</v>
      </c>
      <c r="B6" s="8" t="s">
        <v>82</v>
      </c>
      <c r="C6" s="20" t="s">
        <v>15</v>
      </c>
      <c r="D6" s="8" t="s">
        <v>75</v>
      </c>
      <c r="E6" s="8" t="s">
        <v>41</v>
      </c>
      <c r="F6" s="8" t="s">
        <v>76</v>
      </c>
      <c r="G6" s="8">
        <v>3</v>
      </c>
      <c r="H6" s="8" t="s">
        <v>79</v>
      </c>
    </row>
    <row r="7" spans="1:8" x14ac:dyDescent="0.3">
      <c r="A7" s="8" t="s">
        <v>85</v>
      </c>
      <c r="B7" s="8" t="s">
        <v>86</v>
      </c>
      <c r="C7" s="20" t="s">
        <v>15</v>
      </c>
      <c r="D7" s="8" t="s">
        <v>75</v>
      </c>
      <c r="E7" s="8" t="s">
        <v>41</v>
      </c>
      <c r="F7" s="8" t="s">
        <v>69</v>
      </c>
      <c r="G7" s="8">
        <v>2</v>
      </c>
      <c r="H7" s="8" t="s">
        <v>79</v>
      </c>
    </row>
    <row r="8" spans="1:8" x14ac:dyDescent="0.3">
      <c r="A8" s="8" t="s">
        <v>90</v>
      </c>
      <c r="B8" s="8" t="s">
        <v>91</v>
      </c>
      <c r="C8" s="20" t="s">
        <v>15</v>
      </c>
      <c r="D8" s="8" t="s">
        <v>92</v>
      </c>
      <c r="E8" s="8" t="s">
        <v>48</v>
      </c>
      <c r="F8" s="8" t="s">
        <v>76</v>
      </c>
      <c r="G8" s="8">
        <v>2</v>
      </c>
      <c r="H8" s="8" t="s">
        <v>95</v>
      </c>
    </row>
    <row r="9" spans="1:8" x14ac:dyDescent="0.3">
      <c r="A9" s="8" t="s">
        <v>97</v>
      </c>
      <c r="B9" s="8" t="s">
        <v>98</v>
      </c>
      <c r="C9" s="20" t="s">
        <v>15</v>
      </c>
      <c r="D9" s="8" t="s">
        <v>99</v>
      </c>
      <c r="E9" s="8" t="s">
        <v>48</v>
      </c>
      <c r="F9" s="8" t="s">
        <v>76</v>
      </c>
      <c r="G9" s="8">
        <v>2</v>
      </c>
      <c r="H9" s="8" t="s">
        <v>79</v>
      </c>
    </row>
    <row r="10" spans="1:8" x14ac:dyDescent="0.3">
      <c r="A10" s="8" t="s">
        <v>107</v>
      </c>
      <c r="B10" s="8" t="s">
        <v>108</v>
      </c>
      <c r="C10" s="20" t="s">
        <v>15</v>
      </c>
      <c r="D10" s="8" t="s">
        <v>99</v>
      </c>
      <c r="E10" s="8" t="s">
        <v>48</v>
      </c>
      <c r="F10" s="8" t="s">
        <v>76</v>
      </c>
      <c r="G10" s="8">
        <v>2</v>
      </c>
      <c r="H10" s="8" t="s">
        <v>95</v>
      </c>
    </row>
    <row r="11" spans="1:8" x14ac:dyDescent="0.3">
      <c r="A11" s="8" t="s">
        <v>111</v>
      </c>
      <c r="B11" s="8" t="s">
        <v>112</v>
      </c>
      <c r="C11" s="20" t="s">
        <v>15</v>
      </c>
      <c r="D11" s="8" t="s">
        <v>99</v>
      </c>
      <c r="E11" s="8" t="s">
        <v>41</v>
      </c>
      <c r="F11" s="8" t="s">
        <v>76</v>
      </c>
      <c r="G11" s="8">
        <v>2</v>
      </c>
      <c r="H11" s="8" t="s">
        <v>79</v>
      </c>
    </row>
    <row r="12" spans="1:8" x14ac:dyDescent="0.3">
      <c r="A12" s="8" t="s">
        <v>114</v>
      </c>
      <c r="B12" s="8" t="s">
        <v>115</v>
      </c>
      <c r="C12" s="20" t="s">
        <v>15</v>
      </c>
      <c r="D12" s="8" t="s">
        <v>75</v>
      </c>
      <c r="E12" s="8"/>
      <c r="F12" s="8" t="s">
        <v>76</v>
      </c>
      <c r="G12" s="8">
        <v>1</v>
      </c>
      <c r="H12" s="8" t="s">
        <v>79</v>
      </c>
    </row>
    <row r="13" spans="1:8" x14ac:dyDescent="0.3">
      <c r="A13" s="8" t="s">
        <v>118</v>
      </c>
      <c r="B13" s="8" t="s">
        <v>119</v>
      </c>
      <c r="C13" s="20" t="s">
        <v>15</v>
      </c>
      <c r="D13" s="8" t="s">
        <v>120</v>
      </c>
      <c r="E13" s="8" t="s">
        <v>45</v>
      </c>
      <c r="F13" s="8" t="s">
        <v>76</v>
      </c>
      <c r="G13" s="8">
        <v>2</v>
      </c>
      <c r="H13" s="8" t="s">
        <v>95</v>
      </c>
    </row>
    <row r="14" spans="1:8" x14ac:dyDescent="0.3">
      <c r="A14" s="8" t="s">
        <v>124</v>
      </c>
      <c r="B14" s="8" t="s">
        <v>125</v>
      </c>
      <c r="C14" s="20" t="s">
        <v>15</v>
      </c>
      <c r="D14" s="8" t="s">
        <v>126</v>
      </c>
      <c r="E14" s="8"/>
      <c r="F14" s="8" t="s">
        <v>76</v>
      </c>
      <c r="G14" s="8">
        <v>2</v>
      </c>
      <c r="H14" s="8" t="s">
        <v>79</v>
      </c>
    </row>
    <row r="15" spans="1:8" x14ac:dyDescent="0.3">
      <c r="A15" s="8" t="s">
        <v>130</v>
      </c>
      <c r="B15" s="8" t="s">
        <v>131</v>
      </c>
      <c r="C15" s="20" t="s">
        <v>15</v>
      </c>
      <c r="D15" s="8" t="s">
        <v>93</v>
      </c>
      <c r="E15" s="8"/>
      <c r="F15" s="8" t="s">
        <v>76</v>
      </c>
      <c r="G15" s="8">
        <v>2</v>
      </c>
      <c r="H15" s="8" t="s">
        <v>79</v>
      </c>
    </row>
    <row r="16" spans="1:8" x14ac:dyDescent="0.3">
      <c r="A16" s="8" t="s">
        <v>134</v>
      </c>
      <c r="B16" s="8" t="s">
        <v>135</v>
      </c>
      <c r="C16" s="20" t="s">
        <v>15</v>
      </c>
      <c r="D16" s="8" t="s">
        <v>93</v>
      </c>
      <c r="E16" s="8"/>
      <c r="F16" s="8" t="s">
        <v>130</v>
      </c>
      <c r="G16" s="8">
        <v>1</v>
      </c>
      <c r="H16" s="8" t="s">
        <v>79</v>
      </c>
    </row>
    <row r="17" spans="1:8" x14ac:dyDescent="0.3">
      <c r="A17" s="8" t="s">
        <v>143</v>
      </c>
      <c r="B17" s="8" t="s">
        <v>144</v>
      </c>
      <c r="C17" s="20" t="s">
        <v>15</v>
      </c>
      <c r="D17" s="8" t="s">
        <v>145</v>
      </c>
      <c r="E17" s="8" t="s">
        <v>41</v>
      </c>
      <c r="F17" s="8" t="s">
        <v>76</v>
      </c>
      <c r="G17" s="8">
        <v>3</v>
      </c>
      <c r="H17" s="8" t="s">
        <v>95</v>
      </c>
    </row>
    <row r="18" spans="1:8" x14ac:dyDescent="0.3">
      <c r="A18" s="8" t="s">
        <v>149</v>
      </c>
      <c r="B18" s="8" t="s">
        <v>150</v>
      </c>
      <c r="C18" s="20" t="s">
        <v>15</v>
      </c>
      <c r="D18" s="8" t="s">
        <v>145</v>
      </c>
      <c r="E18" s="8" t="s">
        <v>41</v>
      </c>
      <c r="F18" s="8" t="s">
        <v>143</v>
      </c>
      <c r="G18" s="8">
        <v>2</v>
      </c>
      <c r="H18" s="8" t="s">
        <v>95</v>
      </c>
    </row>
    <row r="19" spans="1:8" x14ac:dyDescent="0.3">
      <c r="A19" s="8" t="s">
        <v>103</v>
      </c>
      <c r="B19" s="8" t="s">
        <v>104</v>
      </c>
      <c r="C19" s="21" t="s">
        <v>16</v>
      </c>
      <c r="D19" s="8" t="s">
        <v>99</v>
      </c>
      <c r="E19" s="8" t="s">
        <v>48</v>
      </c>
      <c r="F19" s="8" t="s">
        <v>90</v>
      </c>
      <c r="G19" s="8">
        <v>2</v>
      </c>
      <c r="H19" s="8" t="s">
        <v>79</v>
      </c>
    </row>
    <row r="20" spans="1:8" x14ac:dyDescent="0.3">
      <c r="A20" s="8" t="s">
        <v>138</v>
      </c>
      <c r="B20" s="8" t="s">
        <v>139</v>
      </c>
      <c r="C20" s="21" t="s">
        <v>16</v>
      </c>
      <c r="D20" s="8" t="s">
        <v>140</v>
      </c>
      <c r="E20" s="8"/>
      <c r="F20" s="8" t="s">
        <v>76</v>
      </c>
      <c r="G20" s="8">
        <v>1</v>
      </c>
      <c r="H20" s="8" t="s">
        <v>79</v>
      </c>
    </row>
  </sheetData>
  <mergeCells count="1">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
  <sheetViews>
    <sheetView topLeftCell="A6" workbookViewId="0">
      <selection activeCell="G11" sqref="G11"/>
    </sheetView>
  </sheetViews>
  <sheetFormatPr baseColWidth="10" defaultColWidth="8.88671875" defaultRowHeight="14.4" x14ac:dyDescent="0.3"/>
  <cols>
    <col min="1" max="1" width="15" customWidth="1"/>
    <col min="2" max="2" width="50" customWidth="1"/>
    <col min="3" max="3" width="10" customWidth="1"/>
    <col min="4" max="4" width="15" customWidth="1"/>
    <col min="5" max="5" width="12" customWidth="1"/>
    <col min="6" max="6" width="25" customWidth="1"/>
    <col min="7" max="7" width="12" customWidth="1"/>
    <col min="8" max="8" width="10" customWidth="1"/>
  </cols>
  <sheetData>
    <row r="1" spans="1:8" ht="18" x14ac:dyDescent="0.35">
      <c r="A1" s="39" t="s">
        <v>617</v>
      </c>
      <c r="B1" s="38"/>
      <c r="C1" s="38"/>
      <c r="D1" s="38"/>
      <c r="E1" s="38"/>
      <c r="F1" s="38"/>
      <c r="G1" s="38"/>
      <c r="H1" s="38"/>
    </row>
    <row r="2" spans="1:8" x14ac:dyDescent="0.3">
      <c r="A2" s="18" t="s">
        <v>618</v>
      </c>
    </row>
    <row r="4" spans="1:8" x14ac:dyDescent="0.3">
      <c r="A4" s="19" t="s">
        <v>54</v>
      </c>
      <c r="B4" s="19" t="s">
        <v>55</v>
      </c>
      <c r="C4" s="19" t="s">
        <v>60</v>
      </c>
      <c r="D4" s="19" t="s">
        <v>61</v>
      </c>
      <c r="E4" s="19" t="s">
        <v>62</v>
      </c>
      <c r="F4" s="19" t="s">
        <v>63</v>
      </c>
      <c r="G4" s="19" t="s">
        <v>68</v>
      </c>
      <c r="H4" s="19" t="s">
        <v>66</v>
      </c>
    </row>
    <row r="5" spans="1:8" x14ac:dyDescent="0.3">
      <c r="A5" s="8" t="s">
        <v>153</v>
      </c>
      <c r="B5" s="8" t="s">
        <v>154</v>
      </c>
      <c r="C5" s="20" t="s">
        <v>15</v>
      </c>
      <c r="D5" s="8" t="s">
        <v>75</v>
      </c>
      <c r="E5" s="8" t="s">
        <v>38</v>
      </c>
      <c r="F5" s="8" t="s">
        <v>76</v>
      </c>
      <c r="G5" s="8">
        <v>5</v>
      </c>
      <c r="H5" s="8" t="s">
        <v>95</v>
      </c>
    </row>
    <row r="6" spans="1:8" x14ac:dyDescent="0.3">
      <c r="A6" s="8" t="s">
        <v>266</v>
      </c>
      <c r="B6" s="8" t="s">
        <v>267</v>
      </c>
      <c r="C6" s="20" t="s">
        <v>15</v>
      </c>
      <c r="D6" s="8" t="s">
        <v>188</v>
      </c>
      <c r="E6" s="8"/>
      <c r="F6" s="8" t="s">
        <v>191</v>
      </c>
      <c r="G6" s="8">
        <v>2</v>
      </c>
      <c r="H6" s="8" t="s">
        <v>79</v>
      </c>
    </row>
    <row r="7" spans="1:8" x14ac:dyDescent="0.3">
      <c r="A7" s="8" t="s">
        <v>262</v>
      </c>
      <c r="B7" s="8" t="s">
        <v>263</v>
      </c>
      <c r="C7" s="20" t="s">
        <v>15</v>
      </c>
      <c r="D7" s="8" t="s">
        <v>93</v>
      </c>
      <c r="E7" s="8"/>
      <c r="F7" s="8" t="s">
        <v>76</v>
      </c>
      <c r="G7" s="8">
        <v>2</v>
      </c>
      <c r="H7" s="8" t="s">
        <v>95</v>
      </c>
    </row>
    <row r="8" spans="1:8" x14ac:dyDescent="0.3">
      <c r="A8" s="8" t="s">
        <v>257</v>
      </c>
      <c r="B8" s="8" t="s">
        <v>258</v>
      </c>
      <c r="C8" s="20" t="s">
        <v>15</v>
      </c>
      <c r="D8" s="8" t="s">
        <v>188</v>
      </c>
      <c r="E8" s="8"/>
      <c r="F8" s="8" t="s">
        <v>259</v>
      </c>
      <c r="G8" s="8">
        <v>2</v>
      </c>
      <c r="H8" s="8" t="s">
        <v>79</v>
      </c>
    </row>
    <row r="9" spans="1:8" x14ac:dyDescent="0.3">
      <c r="A9" s="8" t="s">
        <v>253</v>
      </c>
      <c r="B9" s="8" t="s">
        <v>254</v>
      </c>
      <c r="C9" s="20" t="s">
        <v>15</v>
      </c>
      <c r="D9" s="8" t="s">
        <v>188</v>
      </c>
      <c r="E9" s="8" t="s">
        <v>38</v>
      </c>
      <c r="F9" s="8" t="s">
        <v>69</v>
      </c>
      <c r="G9" s="8">
        <v>2</v>
      </c>
      <c r="H9" s="8" t="s">
        <v>79</v>
      </c>
    </row>
    <row r="10" spans="1:8" x14ac:dyDescent="0.3">
      <c r="A10" s="8" t="s">
        <v>248</v>
      </c>
      <c r="B10" s="8" t="s">
        <v>249</v>
      </c>
      <c r="C10" s="20" t="s">
        <v>15</v>
      </c>
      <c r="D10" s="8" t="s">
        <v>250</v>
      </c>
      <c r="E10" s="8" t="s">
        <v>41</v>
      </c>
      <c r="F10" s="8" t="s">
        <v>243</v>
      </c>
      <c r="G10" s="8">
        <v>1</v>
      </c>
      <c r="H10" s="8" t="s">
        <v>79</v>
      </c>
    </row>
    <row r="11" spans="1:8" x14ac:dyDescent="0.3">
      <c r="A11" s="8" t="s">
        <v>243</v>
      </c>
      <c r="B11" s="8" t="s">
        <v>244</v>
      </c>
      <c r="C11" s="20" t="s">
        <v>15</v>
      </c>
      <c r="D11" s="8" t="s">
        <v>99</v>
      </c>
      <c r="E11" s="8" t="s">
        <v>41</v>
      </c>
      <c r="F11" s="8" t="s">
        <v>245</v>
      </c>
      <c r="G11" s="8">
        <v>2</v>
      </c>
      <c r="H11" s="8" t="s">
        <v>176</v>
      </c>
    </row>
    <row r="12" spans="1:8" x14ac:dyDescent="0.3">
      <c r="A12" s="8" t="s">
        <v>239</v>
      </c>
      <c r="B12" s="8" t="s">
        <v>240</v>
      </c>
      <c r="C12" s="20" t="s">
        <v>15</v>
      </c>
      <c r="D12" s="8" t="s">
        <v>99</v>
      </c>
      <c r="E12" s="8" t="s">
        <v>41</v>
      </c>
      <c r="F12" s="8" t="s">
        <v>233</v>
      </c>
      <c r="G12" s="8">
        <v>2</v>
      </c>
      <c r="H12" s="8" t="s">
        <v>95</v>
      </c>
    </row>
    <row r="13" spans="1:8" x14ac:dyDescent="0.3">
      <c r="A13" s="8" t="s">
        <v>233</v>
      </c>
      <c r="B13" s="8" t="s">
        <v>234</v>
      </c>
      <c r="C13" s="20" t="s">
        <v>15</v>
      </c>
      <c r="D13" s="8" t="s">
        <v>99</v>
      </c>
      <c r="E13" s="8" t="s">
        <v>41</v>
      </c>
      <c r="F13" s="8" t="s">
        <v>236</v>
      </c>
      <c r="G13" s="8">
        <v>8</v>
      </c>
      <c r="H13" s="8" t="s">
        <v>176</v>
      </c>
    </row>
    <row r="14" spans="1:8" x14ac:dyDescent="0.3">
      <c r="A14" s="8" t="s">
        <v>227</v>
      </c>
      <c r="B14" s="8" t="s">
        <v>228</v>
      </c>
      <c r="C14" s="20" t="s">
        <v>15</v>
      </c>
      <c r="D14" s="8" t="s">
        <v>99</v>
      </c>
      <c r="E14" s="8" t="s">
        <v>41</v>
      </c>
      <c r="F14" s="8" t="s">
        <v>230</v>
      </c>
      <c r="G14" s="8">
        <v>5</v>
      </c>
      <c r="H14" s="8" t="s">
        <v>176</v>
      </c>
    </row>
    <row r="15" spans="1:8" x14ac:dyDescent="0.3">
      <c r="A15" s="8" t="s">
        <v>222</v>
      </c>
      <c r="B15" s="8" t="s">
        <v>223</v>
      </c>
      <c r="C15" s="20" t="s">
        <v>15</v>
      </c>
      <c r="D15" s="8" t="s">
        <v>99</v>
      </c>
      <c r="E15" s="8" t="s">
        <v>41</v>
      </c>
      <c r="F15" s="8" t="s">
        <v>211</v>
      </c>
      <c r="G15" s="8">
        <v>5</v>
      </c>
      <c r="H15" s="8" t="s">
        <v>176</v>
      </c>
    </row>
    <row r="16" spans="1:8" x14ac:dyDescent="0.3">
      <c r="A16" s="8" t="s">
        <v>211</v>
      </c>
      <c r="B16" s="8" t="s">
        <v>212</v>
      </c>
      <c r="C16" s="20" t="s">
        <v>15</v>
      </c>
      <c r="D16" s="8" t="s">
        <v>99</v>
      </c>
      <c r="E16" s="8" t="s">
        <v>41</v>
      </c>
      <c r="F16" s="8" t="s">
        <v>107</v>
      </c>
      <c r="G16" s="8">
        <v>3</v>
      </c>
      <c r="H16" s="8" t="s">
        <v>176</v>
      </c>
    </row>
    <row r="17" spans="1:8" x14ac:dyDescent="0.3">
      <c r="A17" s="8" t="s">
        <v>218</v>
      </c>
      <c r="B17" s="8" t="s">
        <v>219</v>
      </c>
      <c r="C17" s="20" t="s">
        <v>15</v>
      </c>
      <c r="D17" s="8" t="s">
        <v>99</v>
      </c>
      <c r="E17" s="8" t="s">
        <v>48</v>
      </c>
      <c r="F17" s="8" t="s">
        <v>211</v>
      </c>
      <c r="G17" s="8">
        <v>2</v>
      </c>
      <c r="H17" s="8" t="s">
        <v>176</v>
      </c>
    </row>
    <row r="18" spans="1:8" x14ac:dyDescent="0.3">
      <c r="A18" s="8" t="s">
        <v>202</v>
      </c>
      <c r="B18" s="8" t="s">
        <v>203</v>
      </c>
      <c r="C18" s="20" t="s">
        <v>15</v>
      </c>
      <c r="D18" s="8" t="s">
        <v>145</v>
      </c>
      <c r="E18" s="8"/>
      <c r="F18" s="8" t="s">
        <v>204</v>
      </c>
      <c r="G18" s="8">
        <v>2</v>
      </c>
      <c r="H18" s="8" t="s">
        <v>95</v>
      </c>
    </row>
    <row r="19" spans="1:8" x14ac:dyDescent="0.3">
      <c r="A19" s="8" t="s">
        <v>198</v>
      </c>
      <c r="B19" s="8" t="s">
        <v>199</v>
      </c>
      <c r="C19" s="20" t="s">
        <v>15</v>
      </c>
      <c r="D19" s="8" t="s">
        <v>93</v>
      </c>
      <c r="E19" s="8" t="s">
        <v>51</v>
      </c>
      <c r="F19" s="8" t="s">
        <v>76</v>
      </c>
      <c r="G19" s="8">
        <v>1</v>
      </c>
      <c r="H19" s="8" t="s">
        <v>79</v>
      </c>
    </row>
    <row r="20" spans="1:8" x14ac:dyDescent="0.3">
      <c r="A20" s="8" t="s">
        <v>194</v>
      </c>
      <c r="B20" s="8" t="s">
        <v>195</v>
      </c>
      <c r="C20" s="20" t="s">
        <v>15</v>
      </c>
      <c r="D20" s="8" t="s">
        <v>93</v>
      </c>
      <c r="E20" s="8"/>
      <c r="F20" s="8" t="s">
        <v>76</v>
      </c>
      <c r="G20" s="8">
        <v>1</v>
      </c>
      <c r="H20" s="8" t="s">
        <v>79</v>
      </c>
    </row>
    <row r="21" spans="1:8" x14ac:dyDescent="0.3">
      <c r="A21" s="8" t="s">
        <v>191</v>
      </c>
      <c r="B21" s="8" t="s">
        <v>192</v>
      </c>
      <c r="C21" s="20" t="s">
        <v>15</v>
      </c>
      <c r="D21" s="8" t="s">
        <v>188</v>
      </c>
      <c r="E21" s="8"/>
      <c r="F21" s="8" t="s">
        <v>69</v>
      </c>
      <c r="G21" s="8">
        <v>2</v>
      </c>
      <c r="H21" s="8" t="s">
        <v>79</v>
      </c>
    </row>
    <row r="22" spans="1:8" x14ac:dyDescent="0.3">
      <c r="A22" s="8" t="s">
        <v>186</v>
      </c>
      <c r="B22" s="8" t="s">
        <v>187</v>
      </c>
      <c r="C22" s="20" t="s">
        <v>15</v>
      </c>
      <c r="D22" s="8" t="s">
        <v>188</v>
      </c>
      <c r="E22" s="8" t="s">
        <v>41</v>
      </c>
      <c r="F22" s="8" t="s">
        <v>69</v>
      </c>
      <c r="G22" s="8">
        <v>1</v>
      </c>
      <c r="H22" s="8" t="s">
        <v>79</v>
      </c>
    </row>
    <row r="23" spans="1:8" x14ac:dyDescent="0.3">
      <c r="A23" s="8" t="s">
        <v>182</v>
      </c>
      <c r="B23" s="8" t="s">
        <v>183</v>
      </c>
      <c r="C23" s="20" t="s">
        <v>15</v>
      </c>
      <c r="D23" s="8" t="s">
        <v>92</v>
      </c>
      <c r="E23" s="8" t="s">
        <v>48</v>
      </c>
      <c r="F23" s="8" t="s">
        <v>90</v>
      </c>
      <c r="G23" s="8">
        <v>3</v>
      </c>
      <c r="H23" s="8" t="s">
        <v>95</v>
      </c>
    </row>
    <row r="24" spans="1:8" x14ac:dyDescent="0.3">
      <c r="A24" s="8" t="s">
        <v>178</v>
      </c>
      <c r="B24" s="8" t="s">
        <v>179</v>
      </c>
      <c r="C24" s="20" t="s">
        <v>15</v>
      </c>
      <c r="D24" s="8" t="s">
        <v>99</v>
      </c>
      <c r="E24" s="8" t="s">
        <v>38</v>
      </c>
      <c r="F24" s="8" t="s">
        <v>153</v>
      </c>
      <c r="G24" s="8">
        <v>5</v>
      </c>
      <c r="H24" s="8" t="s">
        <v>176</v>
      </c>
    </row>
    <row r="25" spans="1:8" x14ac:dyDescent="0.3">
      <c r="A25" s="8" t="s">
        <v>170</v>
      </c>
      <c r="B25" s="8" t="s">
        <v>171</v>
      </c>
      <c r="C25" s="20" t="s">
        <v>15</v>
      </c>
      <c r="D25" s="8" t="s">
        <v>173</v>
      </c>
      <c r="E25" s="8" t="s">
        <v>51</v>
      </c>
      <c r="F25" s="8" t="s">
        <v>153</v>
      </c>
      <c r="G25" s="8">
        <v>3</v>
      </c>
      <c r="H25" s="8" t="s">
        <v>176</v>
      </c>
    </row>
    <row r="26" spans="1:8" x14ac:dyDescent="0.3">
      <c r="A26" s="8" t="s">
        <v>165</v>
      </c>
      <c r="B26" s="8" t="s">
        <v>166</v>
      </c>
      <c r="C26" s="20" t="s">
        <v>15</v>
      </c>
      <c r="D26" s="8" t="s">
        <v>75</v>
      </c>
      <c r="E26" s="8" t="s">
        <v>38</v>
      </c>
      <c r="F26" s="8" t="s">
        <v>76</v>
      </c>
      <c r="G26" s="8">
        <v>3</v>
      </c>
      <c r="H26" s="8" t="s">
        <v>95</v>
      </c>
    </row>
    <row r="27" spans="1:8" x14ac:dyDescent="0.3">
      <c r="A27" s="8" t="s">
        <v>160</v>
      </c>
      <c r="B27" s="8" t="s">
        <v>161</v>
      </c>
      <c r="C27" s="20" t="s">
        <v>15</v>
      </c>
      <c r="D27" s="8" t="s">
        <v>75</v>
      </c>
      <c r="E27" s="8" t="s">
        <v>38</v>
      </c>
      <c r="F27" s="8" t="s">
        <v>76</v>
      </c>
      <c r="G27" s="8">
        <v>3</v>
      </c>
      <c r="H27" s="8" t="s">
        <v>79</v>
      </c>
    </row>
    <row r="28" spans="1:8" x14ac:dyDescent="0.3">
      <c r="A28" s="8" t="s">
        <v>207</v>
      </c>
      <c r="B28" s="8" t="s">
        <v>208</v>
      </c>
      <c r="C28" s="20" t="s">
        <v>15</v>
      </c>
      <c r="D28" s="8" t="s">
        <v>75</v>
      </c>
      <c r="E28" s="8" t="s">
        <v>38</v>
      </c>
      <c r="F28" s="8" t="s">
        <v>178</v>
      </c>
      <c r="G28" s="8">
        <v>2</v>
      </c>
      <c r="H28" s="8" t="s">
        <v>95</v>
      </c>
    </row>
    <row r="29" spans="1:8" x14ac:dyDescent="0.3">
      <c r="A29" s="8" t="s">
        <v>279</v>
      </c>
      <c r="B29" s="8" t="s">
        <v>280</v>
      </c>
      <c r="C29" s="20" t="s">
        <v>15</v>
      </c>
      <c r="D29" s="8" t="s">
        <v>145</v>
      </c>
      <c r="E29" s="8" t="s">
        <v>41</v>
      </c>
      <c r="F29" s="8" t="s">
        <v>245</v>
      </c>
      <c r="G29" s="8">
        <v>2</v>
      </c>
      <c r="H29" s="8" t="s">
        <v>95</v>
      </c>
    </row>
    <row r="30" spans="1:8" x14ac:dyDescent="0.3">
      <c r="A30" s="8" t="s">
        <v>274</v>
      </c>
      <c r="B30" s="8" t="s">
        <v>275</v>
      </c>
      <c r="C30" s="21" t="s">
        <v>16</v>
      </c>
      <c r="D30" s="8" t="s">
        <v>276</v>
      </c>
      <c r="E30" s="8"/>
      <c r="F30" s="8" t="s">
        <v>270</v>
      </c>
      <c r="G30" s="8">
        <v>1</v>
      </c>
      <c r="H30" s="8" t="s">
        <v>79</v>
      </c>
    </row>
    <row r="31" spans="1:8" x14ac:dyDescent="0.3">
      <c r="A31" s="8" t="s">
        <v>270</v>
      </c>
      <c r="B31" s="8" t="s">
        <v>271</v>
      </c>
      <c r="C31" s="21" t="s">
        <v>16</v>
      </c>
      <c r="D31" s="8" t="s">
        <v>140</v>
      </c>
      <c r="E31" s="8"/>
      <c r="F31" s="8" t="s">
        <v>76</v>
      </c>
      <c r="G31" s="8">
        <v>2</v>
      </c>
      <c r="H31" s="8" t="s">
        <v>95</v>
      </c>
    </row>
  </sheetData>
  <mergeCells count="1">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4"/>
  <sheetViews>
    <sheetView workbookViewId="0">
      <selection sqref="A1:H1"/>
    </sheetView>
  </sheetViews>
  <sheetFormatPr baseColWidth="10" defaultColWidth="8.88671875" defaultRowHeight="14.4" x14ac:dyDescent="0.3"/>
  <cols>
    <col min="1" max="1" width="15" customWidth="1"/>
    <col min="2" max="2" width="50" customWidth="1"/>
    <col min="3" max="3" width="10" customWidth="1"/>
    <col min="4" max="4" width="15" customWidth="1"/>
    <col min="5" max="5" width="12" customWidth="1"/>
    <col min="6" max="6" width="25" customWidth="1"/>
    <col min="7" max="7" width="12" customWidth="1"/>
    <col min="8" max="8" width="10" customWidth="1"/>
  </cols>
  <sheetData>
    <row r="1" spans="1:8" ht="18" x14ac:dyDescent="0.35">
      <c r="A1" s="39" t="s">
        <v>619</v>
      </c>
      <c r="B1" s="38"/>
      <c r="C1" s="38"/>
      <c r="D1" s="38"/>
      <c r="E1" s="38"/>
      <c r="F1" s="38"/>
      <c r="G1" s="38"/>
      <c r="H1" s="38"/>
    </row>
    <row r="2" spans="1:8" x14ac:dyDescent="0.3">
      <c r="A2" s="18" t="s">
        <v>620</v>
      </c>
    </row>
    <row r="4" spans="1:8" x14ac:dyDescent="0.3">
      <c r="A4" s="19" t="s">
        <v>54</v>
      </c>
      <c r="B4" s="19" t="s">
        <v>55</v>
      </c>
      <c r="C4" s="19" t="s">
        <v>60</v>
      </c>
      <c r="D4" s="19" t="s">
        <v>61</v>
      </c>
      <c r="E4" s="19" t="s">
        <v>62</v>
      </c>
      <c r="F4" s="19" t="s">
        <v>63</v>
      </c>
      <c r="G4" s="19" t="s">
        <v>68</v>
      </c>
      <c r="H4" s="19" t="s">
        <v>66</v>
      </c>
    </row>
    <row r="5" spans="1:8" x14ac:dyDescent="0.3">
      <c r="A5" s="8" t="s">
        <v>283</v>
      </c>
      <c r="B5" s="8" t="s">
        <v>284</v>
      </c>
      <c r="C5" s="20" t="s">
        <v>15</v>
      </c>
      <c r="D5" s="8" t="s">
        <v>99</v>
      </c>
      <c r="E5" s="8" t="s">
        <v>41</v>
      </c>
      <c r="F5" s="8" t="s">
        <v>211</v>
      </c>
      <c r="G5" s="8">
        <v>5</v>
      </c>
      <c r="H5" s="8" t="s">
        <v>176</v>
      </c>
    </row>
    <row r="6" spans="1:8" x14ac:dyDescent="0.3">
      <c r="A6" s="8" t="s">
        <v>400</v>
      </c>
      <c r="B6" s="8" t="s">
        <v>401</v>
      </c>
      <c r="C6" s="20" t="s">
        <v>15</v>
      </c>
      <c r="D6" s="8" t="s">
        <v>75</v>
      </c>
      <c r="E6" s="8" t="s">
        <v>38</v>
      </c>
      <c r="F6" s="8" t="s">
        <v>402</v>
      </c>
      <c r="G6" s="8">
        <v>2</v>
      </c>
      <c r="H6" s="8" t="s">
        <v>95</v>
      </c>
    </row>
    <row r="7" spans="1:8" x14ac:dyDescent="0.3">
      <c r="A7" s="8" t="s">
        <v>396</v>
      </c>
      <c r="B7" s="8" t="s">
        <v>397</v>
      </c>
      <c r="C7" s="20" t="s">
        <v>15</v>
      </c>
      <c r="D7" s="8" t="s">
        <v>75</v>
      </c>
      <c r="E7" s="8" t="s">
        <v>38</v>
      </c>
      <c r="F7" s="8" t="s">
        <v>178</v>
      </c>
      <c r="G7" s="8">
        <v>2</v>
      </c>
      <c r="H7" s="8" t="s">
        <v>95</v>
      </c>
    </row>
    <row r="8" spans="1:8" x14ac:dyDescent="0.3">
      <c r="A8" s="8" t="s">
        <v>392</v>
      </c>
      <c r="B8" s="8" t="s">
        <v>393</v>
      </c>
      <c r="C8" s="20" t="s">
        <v>15</v>
      </c>
      <c r="D8" s="8" t="s">
        <v>75</v>
      </c>
      <c r="E8" s="8" t="s">
        <v>38</v>
      </c>
      <c r="F8" s="8" t="s">
        <v>178</v>
      </c>
      <c r="G8" s="8">
        <v>2</v>
      </c>
      <c r="H8" s="8" t="s">
        <v>95</v>
      </c>
    </row>
    <row r="9" spans="1:8" x14ac:dyDescent="0.3">
      <c r="A9" s="8" t="s">
        <v>388</v>
      </c>
      <c r="B9" s="8" t="s">
        <v>389</v>
      </c>
      <c r="C9" s="20" t="s">
        <v>15</v>
      </c>
      <c r="D9" s="8" t="s">
        <v>188</v>
      </c>
      <c r="E9" s="8"/>
      <c r="F9" s="8" t="s">
        <v>182</v>
      </c>
      <c r="G9" s="8">
        <v>2</v>
      </c>
      <c r="H9" s="8" t="s">
        <v>79</v>
      </c>
    </row>
    <row r="10" spans="1:8" x14ac:dyDescent="0.3">
      <c r="A10" s="8" t="s">
        <v>384</v>
      </c>
      <c r="B10" s="8" t="s">
        <v>385</v>
      </c>
      <c r="C10" s="20" t="s">
        <v>15</v>
      </c>
      <c r="D10" s="8" t="s">
        <v>188</v>
      </c>
      <c r="E10" s="8" t="s">
        <v>38</v>
      </c>
      <c r="F10" s="8" t="s">
        <v>85</v>
      </c>
      <c r="G10" s="8">
        <v>2</v>
      </c>
      <c r="H10" s="8" t="s">
        <v>79</v>
      </c>
    </row>
    <row r="11" spans="1:8" x14ac:dyDescent="0.3">
      <c r="A11" s="8" t="s">
        <v>380</v>
      </c>
      <c r="B11" s="8" t="s">
        <v>381</v>
      </c>
      <c r="C11" s="20" t="s">
        <v>15</v>
      </c>
      <c r="D11" s="8" t="s">
        <v>126</v>
      </c>
      <c r="E11" s="8" t="s">
        <v>45</v>
      </c>
      <c r="F11" s="8" t="s">
        <v>301</v>
      </c>
      <c r="G11" s="8">
        <v>1</v>
      </c>
      <c r="H11" s="8" t="s">
        <v>95</v>
      </c>
    </row>
    <row r="12" spans="1:8" x14ac:dyDescent="0.3">
      <c r="A12" s="8" t="s">
        <v>376</v>
      </c>
      <c r="B12" s="8" t="s">
        <v>377</v>
      </c>
      <c r="C12" s="20" t="s">
        <v>15</v>
      </c>
      <c r="D12" s="8" t="s">
        <v>126</v>
      </c>
      <c r="E12" s="8" t="s">
        <v>45</v>
      </c>
      <c r="F12" s="8" t="s">
        <v>330</v>
      </c>
      <c r="G12" s="8">
        <v>2</v>
      </c>
      <c r="H12" s="8" t="s">
        <v>95</v>
      </c>
    </row>
    <row r="13" spans="1:8" x14ac:dyDescent="0.3">
      <c r="A13" s="8" t="s">
        <v>371</v>
      </c>
      <c r="B13" s="8" t="s">
        <v>372</v>
      </c>
      <c r="C13" s="20" t="s">
        <v>15</v>
      </c>
      <c r="D13" s="8" t="s">
        <v>126</v>
      </c>
      <c r="E13" s="8" t="s">
        <v>45</v>
      </c>
      <c r="F13" s="8" t="s">
        <v>326</v>
      </c>
      <c r="G13" s="8">
        <v>3</v>
      </c>
      <c r="H13" s="8" t="s">
        <v>95</v>
      </c>
    </row>
    <row r="14" spans="1:8" x14ac:dyDescent="0.3">
      <c r="A14" s="8" t="s">
        <v>367</v>
      </c>
      <c r="B14" s="8" t="s">
        <v>368</v>
      </c>
      <c r="C14" s="20" t="s">
        <v>15</v>
      </c>
      <c r="D14" s="8" t="s">
        <v>126</v>
      </c>
      <c r="E14" s="8"/>
      <c r="F14" s="8" t="s">
        <v>362</v>
      </c>
      <c r="G14" s="8">
        <v>2</v>
      </c>
      <c r="H14" s="8" t="s">
        <v>79</v>
      </c>
    </row>
    <row r="15" spans="1:8" x14ac:dyDescent="0.3">
      <c r="A15" s="8" t="s">
        <v>362</v>
      </c>
      <c r="B15" s="8" t="s">
        <v>363</v>
      </c>
      <c r="C15" s="20" t="s">
        <v>15</v>
      </c>
      <c r="D15" s="8" t="s">
        <v>126</v>
      </c>
      <c r="E15" s="8" t="s">
        <v>38</v>
      </c>
      <c r="F15" s="8" t="s">
        <v>253</v>
      </c>
      <c r="G15" s="8">
        <v>5</v>
      </c>
      <c r="H15" s="8" t="s">
        <v>176</v>
      </c>
    </row>
    <row r="16" spans="1:8" x14ac:dyDescent="0.3">
      <c r="A16" s="8" t="s">
        <v>358</v>
      </c>
      <c r="B16" s="8" t="s">
        <v>359</v>
      </c>
      <c r="C16" s="20" t="s">
        <v>15</v>
      </c>
      <c r="D16" s="8" t="s">
        <v>126</v>
      </c>
      <c r="E16" s="8"/>
      <c r="F16" s="8" t="s">
        <v>191</v>
      </c>
      <c r="G16" s="8">
        <v>2</v>
      </c>
      <c r="H16" s="8" t="s">
        <v>79</v>
      </c>
    </row>
    <row r="17" spans="1:8" x14ac:dyDescent="0.3">
      <c r="A17" s="8" t="s">
        <v>351</v>
      </c>
      <c r="B17" s="8" t="s">
        <v>352</v>
      </c>
      <c r="C17" s="20" t="s">
        <v>15</v>
      </c>
      <c r="D17" s="8" t="s">
        <v>126</v>
      </c>
      <c r="E17" s="8" t="s">
        <v>45</v>
      </c>
      <c r="F17" s="8" t="s">
        <v>186</v>
      </c>
      <c r="G17" s="8">
        <v>3</v>
      </c>
      <c r="H17" s="8" t="s">
        <v>95</v>
      </c>
    </row>
    <row r="18" spans="1:8" x14ac:dyDescent="0.3">
      <c r="A18" s="8" t="s">
        <v>346</v>
      </c>
      <c r="B18" s="8" t="s">
        <v>347</v>
      </c>
      <c r="C18" s="20" t="s">
        <v>15</v>
      </c>
      <c r="D18" s="8" t="s">
        <v>145</v>
      </c>
      <c r="E18" s="8" t="s">
        <v>41</v>
      </c>
      <c r="F18" s="8" t="s">
        <v>348</v>
      </c>
      <c r="G18" s="8">
        <v>2</v>
      </c>
      <c r="H18" s="8" t="s">
        <v>95</v>
      </c>
    </row>
    <row r="19" spans="1:8" x14ac:dyDescent="0.3">
      <c r="A19" s="8" t="s">
        <v>338</v>
      </c>
      <c r="B19" s="8" t="s">
        <v>339</v>
      </c>
      <c r="C19" s="20" t="s">
        <v>15</v>
      </c>
      <c r="D19" s="8" t="s">
        <v>173</v>
      </c>
      <c r="E19" s="8" t="s">
        <v>48</v>
      </c>
      <c r="F19" s="8" t="s">
        <v>90</v>
      </c>
      <c r="G19" s="8">
        <v>2</v>
      </c>
      <c r="H19" s="8" t="s">
        <v>95</v>
      </c>
    </row>
    <row r="20" spans="1:8" x14ac:dyDescent="0.3">
      <c r="A20" s="8" t="s">
        <v>334</v>
      </c>
      <c r="B20" s="8" t="s">
        <v>335</v>
      </c>
      <c r="C20" s="20" t="s">
        <v>15</v>
      </c>
      <c r="D20" s="8" t="s">
        <v>126</v>
      </c>
      <c r="E20" s="8" t="s">
        <v>48</v>
      </c>
      <c r="F20" s="8" t="s">
        <v>124</v>
      </c>
      <c r="G20" s="8">
        <v>3</v>
      </c>
      <c r="H20" s="8" t="s">
        <v>95</v>
      </c>
    </row>
    <row r="21" spans="1:8" x14ac:dyDescent="0.3">
      <c r="A21" s="8" t="s">
        <v>330</v>
      </c>
      <c r="B21" s="8" t="s">
        <v>331</v>
      </c>
      <c r="C21" s="20" t="s">
        <v>15</v>
      </c>
      <c r="D21" s="8" t="s">
        <v>188</v>
      </c>
      <c r="E21" s="8" t="s">
        <v>45</v>
      </c>
      <c r="F21" s="8" t="s">
        <v>85</v>
      </c>
      <c r="G21" s="8">
        <v>1</v>
      </c>
      <c r="H21" s="8" t="s">
        <v>79</v>
      </c>
    </row>
    <row r="22" spans="1:8" x14ac:dyDescent="0.3">
      <c r="A22" s="8" t="s">
        <v>326</v>
      </c>
      <c r="B22" s="8" t="s">
        <v>327</v>
      </c>
      <c r="C22" s="20" t="s">
        <v>15</v>
      </c>
      <c r="D22" s="8" t="s">
        <v>188</v>
      </c>
      <c r="E22" s="8" t="s">
        <v>38</v>
      </c>
      <c r="F22" s="8" t="s">
        <v>85</v>
      </c>
      <c r="G22" s="8">
        <v>2</v>
      </c>
      <c r="H22" s="8" t="s">
        <v>79</v>
      </c>
    </row>
    <row r="23" spans="1:8" x14ac:dyDescent="0.3">
      <c r="A23" s="8" t="s">
        <v>318</v>
      </c>
      <c r="B23" s="8" t="s">
        <v>319</v>
      </c>
      <c r="C23" s="20" t="s">
        <v>15</v>
      </c>
      <c r="D23" s="8" t="s">
        <v>99</v>
      </c>
      <c r="E23" s="8" t="s">
        <v>41</v>
      </c>
      <c r="F23" s="8" t="s">
        <v>107</v>
      </c>
      <c r="G23" s="8">
        <v>2</v>
      </c>
      <c r="H23" s="8" t="s">
        <v>95</v>
      </c>
    </row>
    <row r="24" spans="1:8" x14ac:dyDescent="0.3">
      <c r="A24" s="8" t="s">
        <v>314</v>
      </c>
      <c r="B24" s="8" t="s">
        <v>315</v>
      </c>
      <c r="C24" s="20" t="s">
        <v>15</v>
      </c>
      <c r="D24" s="8" t="s">
        <v>99</v>
      </c>
      <c r="E24" s="8" t="s">
        <v>41</v>
      </c>
      <c r="F24" s="8" t="s">
        <v>111</v>
      </c>
      <c r="G24" s="8">
        <v>2</v>
      </c>
      <c r="H24" s="8" t="s">
        <v>95</v>
      </c>
    </row>
    <row r="25" spans="1:8" x14ac:dyDescent="0.3">
      <c r="A25" s="8" t="s">
        <v>310</v>
      </c>
      <c r="B25" s="8" t="s">
        <v>311</v>
      </c>
      <c r="C25" s="20" t="s">
        <v>15</v>
      </c>
      <c r="D25" s="8" t="s">
        <v>99</v>
      </c>
      <c r="E25" s="8" t="s">
        <v>41</v>
      </c>
      <c r="F25" s="8" t="s">
        <v>111</v>
      </c>
      <c r="G25" s="8">
        <v>3</v>
      </c>
      <c r="H25" s="8" t="s">
        <v>176</v>
      </c>
    </row>
    <row r="26" spans="1:8" x14ac:dyDescent="0.3">
      <c r="A26" s="8" t="s">
        <v>301</v>
      </c>
      <c r="B26" s="8" t="s">
        <v>302</v>
      </c>
      <c r="C26" s="20" t="s">
        <v>15</v>
      </c>
      <c r="D26" s="8" t="s">
        <v>75</v>
      </c>
      <c r="E26" s="8" t="s">
        <v>45</v>
      </c>
      <c r="F26" s="8" t="s">
        <v>69</v>
      </c>
      <c r="G26" s="8">
        <v>3</v>
      </c>
      <c r="H26" s="8" t="s">
        <v>176</v>
      </c>
    </row>
    <row r="27" spans="1:8" x14ac:dyDescent="0.3">
      <c r="A27" s="8" t="s">
        <v>295</v>
      </c>
      <c r="B27" s="8" t="s">
        <v>296</v>
      </c>
      <c r="C27" s="20" t="s">
        <v>15</v>
      </c>
      <c r="D27" s="8" t="s">
        <v>99</v>
      </c>
      <c r="E27" s="8" t="s">
        <v>45</v>
      </c>
      <c r="F27" s="8" t="s">
        <v>298</v>
      </c>
      <c r="G27" s="8">
        <v>5</v>
      </c>
      <c r="H27" s="8" t="s">
        <v>176</v>
      </c>
    </row>
    <row r="28" spans="1:8" x14ac:dyDescent="0.3">
      <c r="A28" s="8" t="s">
        <v>290</v>
      </c>
      <c r="B28" s="8" t="s">
        <v>291</v>
      </c>
      <c r="C28" s="20" t="s">
        <v>15</v>
      </c>
      <c r="D28" s="8" t="s">
        <v>99</v>
      </c>
      <c r="E28" s="8" t="s">
        <v>41</v>
      </c>
      <c r="F28" s="8" t="s">
        <v>283</v>
      </c>
      <c r="G28" s="8">
        <v>2</v>
      </c>
      <c r="H28" s="8" t="s">
        <v>95</v>
      </c>
    </row>
    <row r="29" spans="1:8" x14ac:dyDescent="0.3">
      <c r="A29" s="8" t="s">
        <v>342</v>
      </c>
      <c r="B29" s="8" t="s">
        <v>343</v>
      </c>
      <c r="C29" s="20" t="s">
        <v>15</v>
      </c>
      <c r="D29" s="8" t="s">
        <v>75</v>
      </c>
      <c r="E29" s="8" t="s">
        <v>48</v>
      </c>
      <c r="F29" s="8" t="s">
        <v>218</v>
      </c>
      <c r="G29" s="8">
        <v>2</v>
      </c>
      <c r="H29" s="8" t="s">
        <v>95</v>
      </c>
    </row>
    <row r="30" spans="1:8" x14ac:dyDescent="0.3">
      <c r="A30" s="8" t="s">
        <v>413</v>
      </c>
      <c r="B30" s="8" t="s">
        <v>414</v>
      </c>
      <c r="C30" s="20" t="s">
        <v>15</v>
      </c>
      <c r="D30" s="8" t="s">
        <v>75</v>
      </c>
      <c r="E30" s="8"/>
      <c r="F30" s="8" t="s">
        <v>182</v>
      </c>
      <c r="G30" s="8">
        <v>2</v>
      </c>
      <c r="H30" s="8" t="s">
        <v>79</v>
      </c>
    </row>
    <row r="31" spans="1:8" x14ac:dyDescent="0.3">
      <c r="A31" s="8" t="s">
        <v>409</v>
      </c>
      <c r="B31" s="8" t="s">
        <v>410</v>
      </c>
      <c r="C31" s="21" t="s">
        <v>16</v>
      </c>
      <c r="D31" s="8" t="s">
        <v>75</v>
      </c>
      <c r="E31" s="8" t="s">
        <v>48</v>
      </c>
      <c r="F31" s="8" t="s">
        <v>90</v>
      </c>
      <c r="G31" s="8">
        <v>2</v>
      </c>
      <c r="H31" s="8" t="s">
        <v>95</v>
      </c>
    </row>
    <row r="32" spans="1:8" x14ac:dyDescent="0.3">
      <c r="A32" s="8" t="s">
        <v>322</v>
      </c>
      <c r="B32" s="8" t="s">
        <v>323</v>
      </c>
      <c r="C32" s="21" t="s">
        <v>16</v>
      </c>
      <c r="D32" s="8" t="s">
        <v>99</v>
      </c>
      <c r="E32" s="8" t="s">
        <v>41</v>
      </c>
      <c r="F32" s="8" t="s">
        <v>318</v>
      </c>
      <c r="G32" s="8">
        <v>3</v>
      </c>
      <c r="H32" s="8" t="s">
        <v>176</v>
      </c>
    </row>
    <row r="33" spans="1:8" x14ac:dyDescent="0.3">
      <c r="A33" s="8" t="s">
        <v>305</v>
      </c>
      <c r="B33" s="8" t="s">
        <v>306</v>
      </c>
      <c r="C33" s="21" t="s">
        <v>16</v>
      </c>
      <c r="D33" s="8" t="s">
        <v>75</v>
      </c>
      <c r="E33" s="8" t="s">
        <v>38</v>
      </c>
      <c r="F33" s="8" t="s">
        <v>222</v>
      </c>
      <c r="G33" s="8">
        <v>3</v>
      </c>
      <c r="H33" s="8" t="s">
        <v>95</v>
      </c>
    </row>
    <row r="34" spans="1:8" x14ac:dyDescent="0.3">
      <c r="A34" s="8" t="s">
        <v>405</v>
      </c>
      <c r="B34" s="8" t="s">
        <v>406</v>
      </c>
      <c r="C34" s="21" t="s">
        <v>16</v>
      </c>
      <c r="D34" s="8" t="s">
        <v>75</v>
      </c>
      <c r="E34" s="8"/>
      <c r="F34" s="8" t="s">
        <v>305</v>
      </c>
      <c r="G34" s="8">
        <v>3</v>
      </c>
      <c r="H34" s="8" t="s">
        <v>95</v>
      </c>
    </row>
  </sheetData>
  <mergeCells count="1">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1"/>
  <sheetViews>
    <sheetView topLeftCell="A9" workbookViewId="0">
      <selection sqref="A1:H1"/>
    </sheetView>
  </sheetViews>
  <sheetFormatPr baseColWidth="10" defaultColWidth="8.88671875" defaultRowHeight="14.4" x14ac:dyDescent="0.3"/>
  <cols>
    <col min="1" max="1" width="15" customWidth="1"/>
    <col min="2" max="2" width="50" customWidth="1"/>
    <col min="3" max="3" width="10" customWidth="1"/>
    <col min="4" max="4" width="15" customWidth="1"/>
    <col min="5" max="5" width="12" customWidth="1"/>
    <col min="6" max="6" width="25" customWidth="1"/>
    <col min="7" max="7" width="12" customWidth="1"/>
    <col min="8" max="8" width="10" customWidth="1"/>
  </cols>
  <sheetData>
    <row r="1" spans="1:8" ht="18" x14ac:dyDescent="0.35">
      <c r="A1" s="39" t="s">
        <v>621</v>
      </c>
      <c r="B1" s="38"/>
      <c r="C1" s="38"/>
      <c r="D1" s="38"/>
      <c r="E1" s="38"/>
      <c r="F1" s="38"/>
      <c r="G1" s="38"/>
      <c r="H1" s="38"/>
    </row>
    <row r="2" spans="1:8" x14ac:dyDescent="0.3">
      <c r="A2" s="18" t="s">
        <v>622</v>
      </c>
    </row>
    <row r="4" spans="1:8" x14ac:dyDescent="0.3">
      <c r="A4" s="19" t="s">
        <v>54</v>
      </c>
      <c r="B4" s="19" t="s">
        <v>55</v>
      </c>
      <c r="C4" s="19" t="s">
        <v>60</v>
      </c>
      <c r="D4" s="19" t="s">
        <v>61</v>
      </c>
      <c r="E4" s="19" t="s">
        <v>62</v>
      </c>
      <c r="F4" s="19" t="s">
        <v>63</v>
      </c>
      <c r="G4" s="19" t="s">
        <v>68</v>
      </c>
      <c r="H4" s="19" t="s">
        <v>66</v>
      </c>
    </row>
    <row r="5" spans="1:8" x14ac:dyDescent="0.3">
      <c r="A5" s="8" t="s">
        <v>417</v>
      </c>
      <c r="B5" s="8" t="s">
        <v>418</v>
      </c>
      <c r="C5" s="20" t="s">
        <v>15</v>
      </c>
      <c r="D5" s="8" t="s">
        <v>173</v>
      </c>
      <c r="E5" s="8" t="s">
        <v>51</v>
      </c>
      <c r="F5" s="8" t="s">
        <v>76</v>
      </c>
      <c r="G5" s="8">
        <v>2</v>
      </c>
      <c r="H5" s="8" t="s">
        <v>176</v>
      </c>
    </row>
    <row r="6" spans="1:8" x14ac:dyDescent="0.3">
      <c r="A6" s="8" t="s">
        <v>513</v>
      </c>
      <c r="B6" s="8" t="s">
        <v>514</v>
      </c>
      <c r="C6" s="20" t="s">
        <v>15</v>
      </c>
      <c r="D6" s="8" t="s">
        <v>145</v>
      </c>
      <c r="E6" s="8"/>
      <c r="F6" s="8" t="s">
        <v>515</v>
      </c>
      <c r="G6" s="8">
        <v>2</v>
      </c>
      <c r="H6" s="8" t="s">
        <v>176</v>
      </c>
    </row>
    <row r="7" spans="1:8" x14ac:dyDescent="0.3">
      <c r="A7" s="8" t="s">
        <v>507</v>
      </c>
      <c r="B7" s="8" t="s">
        <v>508</v>
      </c>
      <c r="C7" s="20" t="s">
        <v>15</v>
      </c>
      <c r="D7" s="8" t="s">
        <v>145</v>
      </c>
      <c r="E7" s="8"/>
      <c r="F7" s="8" t="s">
        <v>510</v>
      </c>
      <c r="G7" s="8">
        <v>3</v>
      </c>
      <c r="H7" s="8" t="s">
        <v>176</v>
      </c>
    </row>
    <row r="8" spans="1:8" x14ac:dyDescent="0.3">
      <c r="A8" s="8" t="s">
        <v>490</v>
      </c>
      <c r="B8" s="8" t="s">
        <v>491</v>
      </c>
      <c r="C8" s="20" t="s">
        <v>15</v>
      </c>
      <c r="D8" s="8" t="s">
        <v>93</v>
      </c>
      <c r="E8" s="8" t="s">
        <v>48</v>
      </c>
      <c r="F8" s="8" t="s">
        <v>194</v>
      </c>
      <c r="G8" s="8">
        <v>2</v>
      </c>
      <c r="H8" s="8" t="s">
        <v>95</v>
      </c>
    </row>
    <row r="9" spans="1:8" x14ac:dyDescent="0.3">
      <c r="A9" s="8" t="s">
        <v>484</v>
      </c>
      <c r="B9" s="8" t="s">
        <v>485</v>
      </c>
      <c r="C9" s="20" t="s">
        <v>15</v>
      </c>
      <c r="D9" s="8" t="s">
        <v>93</v>
      </c>
      <c r="E9" s="8"/>
      <c r="F9" s="8" t="s">
        <v>134</v>
      </c>
      <c r="G9" s="8">
        <v>2</v>
      </c>
      <c r="H9" s="8" t="s">
        <v>95</v>
      </c>
    </row>
    <row r="10" spans="1:8" x14ac:dyDescent="0.3">
      <c r="A10" s="8" t="s">
        <v>471</v>
      </c>
      <c r="B10" s="8" t="s">
        <v>472</v>
      </c>
      <c r="C10" s="20" t="s">
        <v>15</v>
      </c>
      <c r="D10" s="8" t="s">
        <v>188</v>
      </c>
      <c r="E10" s="8"/>
      <c r="F10" s="8" t="s">
        <v>473</v>
      </c>
      <c r="G10" s="8">
        <v>1</v>
      </c>
      <c r="H10" s="8" t="s">
        <v>79</v>
      </c>
    </row>
    <row r="11" spans="1:8" x14ac:dyDescent="0.3">
      <c r="A11" s="8" t="s">
        <v>463</v>
      </c>
      <c r="B11" s="8" t="s">
        <v>464</v>
      </c>
      <c r="C11" s="20" t="s">
        <v>15</v>
      </c>
      <c r="D11" s="8" t="s">
        <v>126</v>
      </c>
      <c r="E11" s="8"/>
      <c r="F11" s="8" t="s">
        <v>351</v>
      </c>
      <c r="G11" s="8">
        <v>1</v>
      </c>
      <c r="H11" s="8" t="s">
        <v>79</v>
      </c>
    </row>
    <row r="12" spans="1:8" x14ac:dyDescent="0.3">
      <c r="A12" s="8" t="s">
        <v>476</v>
      </c>
      <c r="B12" s="8" t="s">
        <v>477</v>
      </c>
      <c r="C12" s="20" t="s">
        <v>15</v>
      </c>
      <c r="D12" s="8" t="s">
        <v>188</v>
      </c>
      <c r="E12" s="8"/>
      <c r="F12" s="8" t="s">
        <v>76</v>
      </c>
      <c r="G12" s="8">
        <v>1</v>
      </c>
      <c r="H12" s="8" t="s">
        <v>79</v>
      </c>
    </row>
    <row r="13" spans="1:8" x14ac:dyDescent="0.3">
      <c r="A13" s="8" t="s">
        <v>533</v>
      </c>
      <c r="B13" s="8" t="s">
        <v>534</v>
      </c>
      <c r="C13" s="20" t="s">
        <v>15</v>
      </c>
      <c r="D13" s="8" t="s">
        <v>145</v>
      </c>
      <c r="E13" s="8"/>
      <c r="F13" s="8" t="s">
        <v>535</v>
      </c>
      <c r="G13" s="8">
        <v>3</v>
      </c>
      <c r="H13" s="8" t="s">
        <v>95</v>
      </c>
    </row>
    <row r="14" spans="1:8" x14ac:dyDescent="0.3">
      <c r="A14" s="8" t="s">
        <v>423</v>
      </c>
      <c r="B14" s="8" t="s">
        <v>424</v>
      </c>
      <c r="C14" s="20" t="s">
        <v>15</v>
      </c>
      <c r="D14" s="8" t="s">
        <v>173</v>
      </c>
      <c r="E14" s="8" t="s">
        <v>51</v>
      </c>
      <c r="F14" s="8" t="s">
        <v>76</v>
      </c>
      <c r="G14" s="8">
        <v>2</v>
      </c>
      <c r="H14" s="8" t="s">
        <v>95</v>
      </c>
    </row>
    <row r="15" spans="1:8" x14ac:dyDescent="0.3">
      <c r="A15" s="8" t="s">
        <v>427</v>
      </c>
      <c r="B15" s="8" t="s">
        <v>428</v>
      </c>
      <c r="C15" s="20" t="s">
        <v>15</v>
      </c>
      <c r="D15" s="8" t="s">
        <v>75</v>
      </c>
      <c r="E15" s="8" t="s">
        <v>48</v>
      </c>
      <c r="F15" s="8" t="s">
        <v>218</v>
      </c>
      <c r="G15" s="8">
        <v>2</v>
      </c>
      <c r="H15" s="8" t="s">
        <v>176</v>
      </c>
    </row>
    <row r="16" spans="1:8" x14ac:dyDescent="0.3">
      <c r="A16" s="8" t="s">
        <v>525</v>
      </c>
      <c r="B16" s="8" t="s">
        <v>526</v>
      </c>
      <c r="C16" s="21" t="s">
        <v>16</v>
      </c>
      <c r="D16" s="8" t="s">
        <v>145</v>
      </c>
      <c r="E16" s="8"/>
      <c r="F16" s="8" t="s">
        <v>202</v>
      </c>
      <c r="G16" s="8">
        <v>2</v>
      </c>
      <c r="H16" s="8" t="s">
        <v>95</v>
      </c>
    </row>
    <row r="17" spans="1:8" x14ac:dyDescent="0.3">
      <c r="A17" s="8" t="s">
        <v>521</v>
      </c>
      <c r="B17" s="8" t="s">
        <v>522</v>
      </c>
      <c r="C17" s="21" t="s">
        <v>16</v>
      </c>
      <c r="D17" s="8" t="s">
        <v>93</v>
      </c>
      <c r="E17" s="8"/>
      <c r="F17" s="8" t="s">
        <v>76</v>
      </c>
      <c r="G17" s="8">
        <v>1</v>
      </c>
      <c r="H17" s="8" t="s">
        <v>79</v>
      </c>
    </row>
    <row r="18" spans="1:8" x14ac:dyDescent="0.3">
      <c r="A18" s="8" t="s">
        <v>518</v>
      </c>
      <c r="B18" s="8" t="s">
        <v>519</v>
      </c>
      <c r="C18" s="21" t="s">
        <v>16</v>
      </c>
      <c r="D18" s="8" t="s">
        <v>140</v>
      </c>
      <c r="E18" s="8"/>
      <c r="F18" s="8" t="s">
        <v>405</v>
      </c>
      <c r="G18" s="8">
        <v>2</v>
      </c>
      <c r="H18" s="8" t="s">
        <v>95</v>
      </c>
    </row>
    <row r="19" spans="1:8" x14ac:dyDescent="0.3">
      <c r="A19" s="8" t="s">
        <v>503</v>
      </c>
      <c r="B19" s="8" t="s">
        <v>504</v>
      </c>
      <c r="C19" s="21" t="s">
        <v>16</v>
      </c>
      <c r="D19" s="8" t="s">
        <v>93</v>
      </c>
      <c r="E19" s="8"/>
      <c r="F19" s="8" t="s">
        <v>76</v>
      </c>
      <c r="G19" s="8">
        <v>1</v>
      </c>
      <c r="H19" s="8" t="s">
        <v>79</v>
      </c>
    </row>
    <row r="20" spans="1:8" x14ac:dyDescent="0.3">
      <c r="A20" s="8" t="s">
        <v>498</v>
      </c>
      <c r="B20" s="8" t="s">
        <v>499</v>
      </c>
      <c r="C20" s="21" t="s">
        <v>16</v>
      </c>
      <c r="D20" s="8" t="s">
        <v>250</v>
      </c>
      <c r="E20" s="8"/>
      <c r="F20" s="8" t="s">
        <v>76</v>
      </c>
      <c r="G20" s="8">
        <v>2</v>
      </c>
      <c r="H20" s="8" t="s">
        <v>79</v>
      </c>
    </row>
    <row r="21" spans="1:8" x14ac:dyDescent="0.3">
      <c r="A21" s="8" t="s">
        <v>454</v>
      </c>
      <c r="B21" s="8" t="s">
        <v>455</v>
      </c>
      <c r="C21" s="21" t="s">
        <v>16</v>
      </c>
      <c r="D21" s="8" t="s">
        <v>99</v>
      </c>
      <c r="E21" s="8" t="s">
        <v>41</v>
      </c>
      <c r="F21" s="8" t="s">
        <v>456</v>
      </c>
      <c r="G21" s="8">
        <v>2</v>
      </c>
      <c r="H21" s="8" t="s">
        <v>95</v>
      </c>
    </row>
    <row r="22" spans="1:8" x14ac:dyDescent="0.3">
      <c r="A22" s="8" t="s">
        <v>437</v>
      </c>
      <c r="B22" s="8" t="s">
        <v>438</v>
      </c>
      <c r="C22" s="21" t="s">
        <v>16</v>
      </c>
      <c r="D22" s="8" t="s">
        <v>126</v>
      </c>
      <c r="E22" s="8" t="s">
        <v>48</v>
      </c>
      <c r="F22" s="8" t="s">
        <v>334</v>
      </c>
      <c r="G22" s="8">
        <v>2</v>
      </c>
      <c r="H22" s="8" t="s">
        <v>79</v>
      </c>
    </row>
    <row r="23" spans="1:8" x14ac:dyDescent="0.3">
      <c r="A23" s="8" t="s">
        <v>480</v>
      </c>
      <c r="B23" s="8" t="s">
        <v>481</v>
      </c>
      <c r="C23" s="21" t="s">
        <v>16</v>
      </c>
      <c r="D23" s="8" t="s">
        <v>75</v>
      </c>
      <c r="E23" s="8"/>
      <c r="F23" s="8" t="s">
        <v>233</v>
      </c>
      <c r="G23" s="8">
        <v>2</v>
      </c>
      <c r="H23" s="8" t="s">
        <v>95</v>
      </c>
    </row>
    <row r="24" spans="1:8" x14ac:dyDescent="0.3">
      <c r="A24" s="8" t="s">
        <v>529</v>
      </c>
      <c r="B24" s="8" t="s">
        <v>530</v>
      </c>
      <c r="C24" s="21" t="s">
        <v>16</v>
      </c>
      <c r="D24" s="8" t="s">
        <v>145</v>
      </c>
      <c r="E24" s="8"/>
      <c r="F24" s="8" t="s">
        <v>409</v>
      </c>
      <c r="G24" s="8">
        <v>2</v>
      </c>
      <c r="H24" s="8" t="s">
        <v>176</v>
      </c>
    </row>
    <row r="25" spans="1:8" x14ac:dyDescent="0.3">
      <c r="A25" s="8" t="s">
        <v>441</v>
      </c>
      <c r="B25" s="8" t="s">
        <v>442</v>
      </c>
      <c r="C25" s="21" t="s">
        <v>16</v>
      </c>
      <c r="D25" s="8" t="s">
        <v>75</v>
      </c>
      <c r="E25" s="8" t="s">
        <v>48</v>
      </c>
      <c r="F25" s="8" t="s">
        <v>182</v>
      </c>
      <c r="G25" s="8">
        <v>2</v>
      </c>
      <c r="H25" s="8" t="s">
        <v>95</v>
      </c>
    </row>
    <row r="26" spans="1:8" x14ac:dyDescent="0.3">
      <c r="A26" s="8" t="s">
        <v>467</v>
      </c>
      <c r="B26" s="8" t="s">
        <v>468</v>
      </c>
      <c r="C26" s="21" t="s">
        <v>16</v>
      </c>
      <c r="D26" s="8" t="s">
        <v>75</v>
      </c>
      <c r="E26" s="8" t="s">
        <v>38</v>
      </c>
      <c r="F26" s="8" t="s">
        <v>400</v>
      </c>
      <c r="G26" s="8">
        <v>2</v>
      </c>
      <c r="H26" s="8" t="s">
        <v>95</v>
      </c>
    </row>
    <row r="27" spans="1:8" x14ac:dyDescent="0.3">
      <c r="A27" s="8" t="s">
        <v>445</v>
      </c>
      <c r="B27" s="8" t="s">
        <v>446</v>
      </c>
      <c r="C27" s="21" t="s">
        <v>16</v>
      </c>
      <c r="D27" s="8" t="s">
        <v>99</v>
      </c>
      <c r="E27" s="8" t="s">
        <v>41</v>
      </c>
      <c r="F27" s="8" t="s">
        <v>111</v>
      </c>
      <c r="G27" s="8">
        <v>2</v>
      </c>
      <c r="H27" s="8" t="s">
        <v>95</v>
      </c>
    </row>
    <row r="28" spans="1:8" x14ac:dyDescent="0.3">
      <c r="A28" s="8" t="s">
        <v>459</v>
      </c>
      <c r="B28" s="8" t="s">
        <v>460</v>
      </c>
      <c r="C28" s="21" t="s">
        <v>16</v>
      </c>
      <c r="D28" s="8" t="s">
        <v>126</v>
      </c>
      <c r="E28" s="8" t="s">
        <v>38</v>
      </c>
      <c r="F28" s="8" t="s">
        <v>400</v>
      </c>
      <c r="G28" s="8">
        <v>3</v>
      </c>
      <c r="H28" s="8" t="s">
        <v>95</v>
      </c>
    </row>
    <row r="29" spans="1:8" x14ac:dyDescent="0.3">
      <c r="A29" s="8" t="s">
        <v>432</v>
      </c>
      <c r="B29" s="8" t="s">
        <v>433</v>
      </c>
      <c r="C29" s="21" t="s">
        <v>16</v>
      </c>
      <c r="D29" s="8" t="s">
        <v>99</v>
      </c>
      <c r="E29" s="8" t="s">
        <v>48</v>
      </c>
      <c r="F29" s="8" t="s">
        <v>111</v>
      </c>
      <c r="G29" s="8">
        <v>3</v>
      </c>
      <c r="H29" s="8" t="s">
        <v>95</v>
      </c>
    </row>
    <row r="30" spans="1:8" x14ac:dyDescent="0.3">
      <c r="A30" s="8" t="s">
        <v>494</v>
      </c>
      <c r="B30" s="8" t="s">
        <v>495</v>
      </c>
      <c r="C30" s="21" t="s">
        <v>16</v>
      </c>
      <c r="D30" s="8" t="s">
        <v>250</v>
      </c>
      <c r="E30" s="8"/>
      <c r="F30" s="8" t="s">
        <v>76</v>
      </c>
      <c r="G30" s="8">
        <v>1</v>
      </c>
      <c r="H30" s="8" t="s">
        <v>79</v>
      </c>
    </row>
    <row r="31" spans="1:8" x14ac:dyDescent="0.3">
      <c r="A31" s="8" t="s">
        <v>449</v>
      </c>
      <c r="B31" s="8" t="s">
        <v>450</v>
      </c>
      <c r="C31" s="8" t="s">
        <v>17</v>
      </c>
      <c r="D31" s="8" t="s">
        <v>99</v>
      </c>
      <c r="E31" s="8"/>
      <c r="F31" s="8" t="s">
        <v>111</v>
      </c>
      <c r="G31" s="8">
        <v>2</v>
      </c>
      <c r="H31" s="8" t="s">
        <v>79</v>
      </c>
    </row>
  </sheetData>
  <mergeCells count="1">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
  <sheetViews>
    <sheetView workbookViewId="0">
      <selection sqref="A1:H1"/>
    </sheetView>
  </sheetViews>
  <sheetFormatPr baseColWidth="10" defaultColWidth="8.88671875" defaultRowHeight="14.4" x14ac:dyDescent="0.3"/>
  <cols>
    <col min="1" max="1" width="15" customWidth="1"/>
    <col min="2" max="2" width="50" customWidth="1"/>
    <col min="3" max="3" width="10" customWidth="1"/>
    <col min="4" max="4" width="15" customWidth="1"/>
    <col min="5" max="5" width="12" customWidth="1"/>
    <col min="6" max="6" width="25" customWidth="1"/>
    <col min="7" max="7" width="12" customWidth="1"/>
    <col min="8" max="8" width="10" customWidth="1"/>
  </cols>
  <sheetData>
    <row r="1" spans="1:8" ht="18" x14ac:dyDescent="0.35">
      <c r="A1" s="39" t="s">
        <v>623</v>
      </c>
      <c r="B1" s="38"/>
      <c r="C1" s="38"/>
      <c r="D1" s="38"/>
      <c r="E1" s="38"/>
      <c r="F1" s="38"/>
      <c r="G1" s="38"/>
      <c r="H1" s="38"/>
    </row>
    <row r="2" spans="1:8" x14ac:dyDescent="0.3">
      <c r="A2" s="18" t="s">
        <v>624</v>
      </c>
    </row>
    <row r="4" spans="1:8" x14ac:dyDescent="0.3">
      <c r="A4" s="19" t="s">
        <v>54</v>
      </c>
      <c r="B4" s="19" t="s">
        <v>55</v>
      </c>
      <c r="C4" s="19" t="s">
        <v>60</v>
      </c>
      <c r="D4" s="19" t="s">
        <v>61</v>
      </c>
      <c r="E4" s="19" t="s">
        <v>62</v>
      </c>
      <c r="F4" s="19" t="s">
        <v>63</v>
      </c>
      <c r="G4" s="19" t="s">
        <v>68</v>
      </c>
      <c r="H4" s="19" t="s">
        <v>66</v>
      </c>
    </row>
    <row r="5" spans="1:8" x14ac:dyDescent="0.3">
      <c r="A5" s="8" t="s">
        <v>538</v>
      </c>
      <c r="B5" s="8" t="s">
        <v>539</v>
      </c>
      <c r="C5" s="20" t="s">
        <v>15</v>
      </c>
      <c r="D5" s="8" t="s">
        <v>173</v>
      </c>
      <c r="E5" s="8" t="s">
        <v>542</v>
      </c>
      <c r="F5" s="8" t="s">
        <v>76</v>
      </c>
      <c r="G5" s="8">
        <v>2</v>
      </c>
      <c r="H5" s="8" t="s">
        <v>176</v>
      </c>
    </row>
    <row r="6" spans="1:8" x14ac:dyDescent="0.3">
      <c r="A6" s="8" t="s">
        <v>545</v>
      </c>
      <c r="B6" s="8" t="s">
        <v>546</v>
      </c>
      <c r="C6" s="20" t="s">
        <v>15</v>
      </c>
      <c r="D6" s="8" t="s">
        <v>145</v>
      </c>
      <c r="E6" s="8" t="s">
        <v>41</v>
      </c>
      <c r="F6" s="8" t="s">
        <v>143</v>
      </c>
      <c r="G6" s="8"/>
      <c r="H6" s="8" t="s">
        <v>548</v>
      </c>
    </row>
    <row r="7" spans="1:8" x14ac:dyDescent="0.3">
      <c r="A7" s="8" t="s">
        <v>550</v>
      </c>
      <c r="B7" s="8" t="s">
        <v>551</v>
      </c>
      <c r="C7" s="20" t="s">
        <v>15</v>
      </c>
      <c r="D7" s="8" t="s">
        <v>145</v>
      </c>
      <c r="E7" s="8"/>
      <c r="F7" s="8" t="s">
        <v>513</v>
      </c>
      <c r="G7" s="8">
        <v>2</v>
      </c>
      <c r="H7" s="8" t="s">
        <v>176</v>
      </c>
    </row>
    <row r="8" spans="1:8" x14ac:dyDescent="0.3">
      <c r="A8" s="8" t="s">
        <v>555</v>
      </c>
      <c r="B8" s="8" t="s">
        <v>556</v>
      </c>
      <c r="C8" s="20" t="s">
        <v>15</v>
      </c>
      <c r="D8" s="8" t="s">
        <v>173</v>
      </c>
      <c r="E8" s="8" t="s">
        <v>28</v>
      </c>
      <c r="F8" s="8" t="s">
        <v>538</v>
      </c>
      <c r="G8" s="8">
        <v>2</v>
      </c>
      <c r="H8" s="8" t="s">
        <v>558</v>
      </c>
    </row>
    <row r="9" spans="1:8" x14ac:dyDescent="0.3">
      <c r="A9" s="8" t="s">
        <v>560</v>
      </c>
      <c r="B9" s="8" t="s">
        <v>561</v>
      </c>
      <c r="C9" s="20" t="s">
        <v>15</v>
      </c>
      <c r="D9" s="8" t="s">
        <v>93</v>
      </c>
      <c r="E9" s="8"/>
      <c r="F9" s="8" t="s">
        <v>484</v>
      </c>
      <c r="G9" s="8">
        <v>2</v>
      </c>
      <c r="H9" s="8" t="s">
        <v>176</v>
      </c>
    </row>
    <row r="10" spans="1:8" x14ac:dyDescent="0.3">
      <c r="A10" s="8" t="s">
        <v>575</v>
      </c>
      <c r="B10" s="8" t="s">
        <v>576</v>
      </c>
      <c r="C10" s="20" t="s">
        <v>15</v>
      </c>
      <c r="D10" s="8" t="s">
        <v>580</v>
      </c>
      <c r="E10" s="8"/>
      <c r="F10" s="8" t="s">
        <v>560</v>
      </c>
      <c r="G10" s="8">
        <v>3</v>
      </c>
      <c r="H10" s="8" t="s">
        <v>176</v>
      </c>
    </row>
    <row r="11" spans="1:8" x14ac:dyDescent="0.3">
      <c r="A11" s="8" t="s">
        <v>584</v>
      </c>
      <c r="B11" s="8" t="s">
        <v>585</v>
      </c>
      <c r="C11" s="20" t="s">
        <v>15</v>
      </c>
      <c r="D11" s="8" t="s">
        <v>580</v>
      </c>
      <c r="E11" s="8"/>
      <c r="F11" s="8" t="s">
        <v>560</v>
      </c>
      <c r="G11" s="8">
        <v>3</v>
      </c>
      <c r="H11" s="8" t="s">
        <v>176</v>
      </c>
    </row>
    <row r="12" spans="1:8" x14ac:dyDescent="0.3">
      <c r="A12" s="8" t="s">
        <v>588</v>
      </c>
      <c r="B12" s="8" t="s">
        <v>589</v>
      </c>
      <c r="C12" s="20" t="s">
        <v>15</v>
      </c>
      <c r="D12" s="8" t="s">
        <v>580</v>
      </c>
      <c r="E12" s="8"/>
      <c r="F12" s="8" t="s">
        <v>560</v>
      </c>
      <c r="G12" s="8">
        <v>3</v>
      </c>
      <c r="H12" s="8" t="s">
        <v>176</v>
      </c>
    </row>
    <row r="13" spans="1:8" x14ac:dyDescent="0.3">
      <c r="A13" s="8" t="s">
        <v>603</v>
      </c>
      <c r="B13" s="8" t="s">
        <v>604</v>
      </c>
      <c r="C13" s="20" t="s">
        <v>15</v>
      </c>
      <c r="D13" s="8" t="s">
        <v>580</v>
      </c>
      <c r="E13" s="8"/>
      <c r="F13" s="8" t="s">
        <v>605</v>
      </c>
      <c r="G13" s="8">
        <v>2</v>
      </c>
      <c r="H13" s="8" t="s">
        <v>176</v>
      </c>
    </row>
    <row r="14" spans="1:8" x14ac:dyDescent="0.3">
      <c r="A14" s="8" t="s">
        <v>608</v>
      </c>
      <c r="B14" s="8" t="s">
        <v>609</v>
      </c>
      <c r="C14" s="20" t="s">
        <v>15</v>
      </c>
      <c r="D14" s="8" t="s">
        <v>75</v>
      </c>
      <c r="E14" s="8"/>
      <c r="F14" s="8" t="s">
        <v>603</v>
      </c>
      <c r="G14" s="8">
        <v>5</v>
      </c>
      <c r="H14" s="8" t="s">
        <v>176</v>
      </c>
    </row>
    <row r="15" spans="1:8" x14ac:dyDescent="0.3">
      <c r="A15" s="8" t="s">
        <v>564</v>
      </c>
      <c r="B15" s="8" t="s">
        <v>565</v>
      </c>
      <c r="C15" s="21" t="s">
        <v>16</v>
      </c>
      <c r="D15" s="8" t="s">
        <v>145</v>
      </c>
      <c r="E15" s="8" t="s">
        <v>41</v>
      </c>
      <c r="F15" s="8" t="s">
        <v>143</v>
      </c>
      <c r="G15" s="8">
        <v>3</v>
      </c>
      <c r="H15" s="8" t="s">
        <v>95</v>
      </c>
    </row>
    <row r="16" spans="1:8" x14ac:dyDescent="0.3">
      <c r="A16" s="8" t="s">
        <v>567</v>
      </c>
      <c r="B16" s="8" t="s">
        <v>568</v>
      </c>
      <c r="C16" s="21" t="s">
        <v>16</v>
      </c>
      <c r="D16" s="8" t="s">
        <v>276</v>
      </c>
      <c r="E16" s="8"/>
      <c r="F16" s="8" t="s">
        <v>76</v>
      </c>
      <c r="G16" s="8">
        <v>1</v>
      </c>
      <c r="H16" s="8" t="s">
        <v>79</v>
      </c>
    </row>
    <row r="17" spans="1:8" x14ac:dyDescent="0.3">
      <c r="A17" s="8" t="s">
        <v>594</v>
      </c>
      <c r="B17" s="8" t="s">
        <v>595</v>
      </c>
      <c r="C17" s="21" t="s">
        <v>16</v>
      </c>
      <c r="D17" s="8" t="s">
        <v>250</v>
      </c>
      <c r="E17" s="8"/>
      <c r="F17" s="8" t="s">
        <v>560</v>
      </c>
      <c r="G17" s="8">
        <v>3</v>
      </c>
      <c r="H17" s="8" t="s">
        <v>79</v>
      </c>
    </row>
    <row r="18" spans="1:8" x14ac:dyDescent="0.3">
      <c r="A18" s="8" t="s">
        <v>599</v>
      </c>
      <c r="B18" s="8" t="s">
        <v>600</v>
      </c>
      <c r="C18" s="21" t="s">
        <v>16</v>
      </c>
      <c r="D18" s="8" t="s">
        <v>250</v>
      </c>
      <c r="E18" s="8"/>
      <c r="F18" s="8" t="s">
        <v>471</v>
      </c>
      <c r="G18" s="8">
        <v>2</v>
      </c>
      <c r="H18" s="8" t="s">
        <v>79</v>
      </c>
    </row>
    <row r="19" spans="1:8" x14ac:dyDescent="0.3">
      <c r="A19" s="8" t="s">
        <v>611</v>
      </c>
      <c r="B19" s="8" t="s">
        <v>612</v>
      </c>
      <c r="C19" s="21" t="s">
        <v>16</v>
      </c>
      <c r="D19" s="8" t="s">
        <v>580</v>
      </c>
      <c r="E19" s="8"/>
      <c r="F19" s="8" t="s">
        <v>603</v>
      </c>
      <c r="G19" s="8">
        <v>1</v>
      </c>
      <c r="H19" s="8" t="s">
        <v>79</v>
      </c>
    </row>
    <row r="20" spans="1:8" x14ac:dyDescent="0.3">
      <c r="A20" s="8" t="s">
        <v>571</v>
      </c>
      <c r="B20" s="8" t="s">
        <v>572</v>
      </c>
      <c r="C20" s="8" t="s">
        <v>17</v>
      </c>
      <c r="D20" s="8" t="s">
        <v>276</v>
      </c>
      <c r="E20" s="8"/>
      <c r="F20" s="8" t="s">
        <v>76</v>
      </c>
      <c r="G20" s="8">
        <v>2</v>
      </c>
      <c r="H20" s="8" t="s">
        <v>79</v>
      </c>
    </row>
  </sheetData>
  <mergeCells count="1">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17"/>
  <sheetViews>
    <sheetView topLeftCell="A40" workbookViewId="0">
      <selection activeCell="D65" sqref="D65"/>
    </sheetView>
  </sheetViews>
  <sheetFormatPr baseColWidth="10" defaultColWidth="8.88671875" defaultRowHeight="14.4" x14ac:dyDescent="0.3"/>
  <cols>
    <col min="1" max="1" width="15" customWidth="1"/>
    <col min="2" max="2" width="50" customWidth="1"/>
    <col min="3" max="4" width="14" customWidth="1"/>
    <col min="5" max="6" width="12" customWidth="1"/>
    <col min="7" max="7" width="25" customWidth="1"/>
  </cols>
  <sheetData>
    <row r="1" spans="1:7" x14ac:dyDescent="0.3">
      <c r="A1" s="7" t="s">
        <v>54</v>
      </c>
      <c r="B1" s="7" t="s">
        <v>55</v>
      </c>
      <c r="C1" s="7" t="s">
        <v>57</v>
      </c>
      <c r="D1" s="7" t="s">
        <v>58</v>
      </c>
      <c r="E1" s="7" t="s">
        <v>59</v>
      </c>
      <c r="F1" s="7" t="s">
        <v>12</v>
      </c>
      <c r="G1" s="7" t="s">
        <v>63</v>
      </c>
    </row>
    <row r="2" spans="1:7" x14ac:dyDescent="0.3">
      <c r="A2" t="s">
        <v>69</v>
      </c>
      <c r="B2" t="s">
        <v>70</v>
      </c>
      <c r="C2" t="s">
        <v>72</v>
      </c>
      <c r="D2" t="s">
        <v>73</v>
      </c>
      <c r="E2">
        <v>2</v>
      </c>
      <c r="F2" t="s">
        <v>18</v>
      </c>
      <c r="G2" t="s">
        <v>76</v>
      </c>
    </row>
    <row r="3" spans="1:7" x14ac:dyDescent="0.3">
      <c r="A3" t="s">
        <v>81</v>
      </c>
      <c r="B3" t="s">
        <v>82</v>
      </c>
      <c r="C3" t="s">
        <v>72</v>
      </c>
      <c r="D3" t="s">
        <v>73</v>
      </c>
      <c r="E3">
        <v>2</v>
      </c>
      <c r="F3" t="s">
        <v>18</v>
      </c>
      <c r="G3" t="s">
        <v>76</v>
      </c>
    </row>
    <row r="4" spans="1:7" x14ac:dyDescent="0.3">
      <c r="A4" t="s">
        <v>85</v>
      </c>
      <c r="B4" t="s">
        <v>86</v>
      </c>
      <c r="C4" t="s">
        <v>87</v>
      </c>
      <c r="D4" t="s">
        <v>87</v>
      </c>
      <c r="E4">
        <v>1</v>
      </c>
      <c r="F4" t="s">
        <v>18</v>
      </c>
      <c r="G4" t="s">
        <v>69</v>
      </c>
    </row>
    <row r="5" spans="1:7" x14ac:dyDescent="0.3">
      <c r="A5" t="s">
        <v>90</v>
      </c>
      <c r="B5" t="s">
        <v>91</v>
      </c>
      <c r="C5" t="s">
        <v>72</v>
      </c>
      <c r="D5" t="s">
        <v>72</v>
      </c>
      <c r="E5">
        <v>1</v>
      </c>
      <c r="F5" t="s">
        <v>18</v>
      </c>
      <c r="G5" t="s">
        <v>76</v>
      </c>
    </row>
    <row r="6" spans="1:7" x14ac:dyDescent="0.3">
      <c r="A6" t="s">
        <v>97</v>
      </c>
      <c r="B6" t="s">
        <v>98</v>
      </c>
      <c r="C6" t="s">
        <v>73</v>
      </c>
      <c r="D6" t="s">
        <v>73</v>
      </c>
      <c r="E6">
        <v>1</v>
      </c>
      <c r="F6" t="s">
        <v>18</v>
      </c>
      <c r="G6" t="s">
        <v>76</v>
      </c>
    </row>
    <row r="7" spans="1:7" x14ac:dyDescent="0.3">
      <c r="A7" t="s">
        <v>103</v>
      </c>
      <c r="B7" t="s">
        <v>104</v>
      </c>
      <c r="C7" t="s">
        <v>87</v>
      </c>
      <c r="D7" t="s">
        <v>87</v>
      </c>
      <c r="E7">
        <v>1</v>
      </c>
      <c r="F7" t="s">
        <v>18</v>
      </c>
      <c r="G7" t="s">
        <v>90</v>
      </c>
    </row>
    <row r="8" spans="1:7" x14ac:dyDescent="0.3">
      <c r="A8" t="s">
        <v>107</v>
      </c>
      <c r="B8" t="s">
        <v>108</v>
      </c>
      <c r="C8" t="s">
        <v>87</v>
      </c>
      <c r="D8" t="s">
        <v>87</v>
      </c>
      <c r="E8">
        <v>1</v>
      </c>
      <c r="F8" t="s">
        <v>18</v>
      </c>
      <c r="G8" t="s">
        <v>76</v>
      </c>
    </row>
    <row r="9" spans="1:7" x14ac:dyDescent="0.3">
      <c r="A9" t="s">
        <v>111</v>
      </c>
      <c r="B9" t="s">
        <v>112</v>
      </c>
      <c r="C9" t="s">
        <v>73</v>
      </c>
      <c r="D9" t="s">
        <v>73</v>
      </c>
      <c r="E9">
        <v>1</v>
      </c>
      <c r="F9" t="s">
        <v>18</v>
      </c>
      <c r="G9" t="s">
        <v>76</v>
      </c>
    </row>
    <row r="10" spans="1:7" x14ac:dyDescent="0.3">
      <c r="A10" t="s">
        <v>114</v>
      </c>
      <c r="B10" t="s">
        <v>115</v>
      </c>
      <c r="C10" t="s">
        <v>73</v>
      </c>
      <c r="D10" t="s">
        <v>73</v>
      </c>
      <c r="E10">
        <v>1</v>
      </c>
      <c r="F10" t="s">
        <v>18</v>
      </c>
      <c r="G10" t="s">
        <v>76</v>
      </c>
    </row>
    <row r="11" spans="1:7" x14ac:dyDescent="0.3">
      <c r="A11" t="s">
        <v>118</v>
      </c>
      <c r="B11" t="s">
        <v>119</v>
      </c>
      <c r="C11" t="s">
        <v>72</v>
      </c>
      <c r="D11" t="s">
        <v>72</v>
      </c>
      <c r="E11">
        <v>1</v>
      </c>
      <c r="F11" t="s">
        <v>18</v>
      </c>
      <c r="G11" t="s">
        <v>76</v>
      </c>
    </row>
    <row r="12" spans="1:7" x14ac:dyDescent="0.3">
      <c r="A12" t="s">
        <v>124</v>
      </c>
      <c r="B12" t="s">
        <v>125</v>
      </c>
      <c r="C12" t="s">
        <v>73</v>
      </c>
      <c r="D12" t="s">
        <v>73</v>
      </c>
      <c r="E12">
        <v>1</v>
      </c>
      <c r="F12" t="s">
        <v>18</v>
      </c>
      <c r="G12" t="s">
        <v>76</v>
      </c>
    </row>
    <row r="13" spans="1:7" x14ac:dyDescent="0.3">
      <c r="A13" t="s">
        <v>130</v>
      </c>
      <c r="B13" t="s">
        <v>131</v>
      </c>
      <c r="C13" t="s">
        <v>72</v>
      </c>
      <c r="D13" t="s">
        <v>72</v>
      </c>
      <c r="E13">
        <v>1</v>
      </c>
      <c r="F13" t="s">
        <v>18</v>
      </c>
      <c r="G13" t="s">
        <v>76</v>
      </c>
    </row>
    <row r="14" spans="1:7" x14ac:dyDescent="0.3">
      <c r="A14" t="s">
        <v>134</v>
      </c>
      <c r="B14" t="s">
        <v>135</v>
      </c>
      <c r="C14" t="s">
        <v>73</v>
      </c>
      <c r="D14" t="s">
        <v>73</v>
      </c>
      <c r="E14">
        <v>0.5</v>
      </c>
      <c r="F14" t="s">
        <v>18</v>
      </c>
      <c r="G14" t="s">
        <v>130</v>
      </c>
    </row>
    <row r="15" spans="1:7" x14ac:dyDescent="0.3">
      <c r="A15" t="s">
        <v>138</v>
      </c>
      <c r="B15" t="s">
        <v>139</v>
      </c>
      <c r="C15" t="s">
        <v>87</v>
      </c>
      <c r="D15" t="s">
        <v>87</v>
      </c>
      <c r="E15">
        <v>0.5</v>
      </c>
      <c r="F15" t="s">
        <v>18</v>
      </c>
      <c r="G15" t="s">
        <v>76</v>
      </c>
    </row>
    <row r="16" spans="1:7" x14ac:dyDescent="0.3">
      <c r="A16" t="s">
        <v>143</v>
      </c>
      <c r="B16" t="s">
        <v>144</v>
      </c>
      <c r="C16" t="s">
        <v>72</v>
      </c>
      <c r="D16" t="s">
        <v>73</v>
      </c>
      <c r="E16">
        <v>2</v>
      </c>
      <c r="F16" t="s">
        <v>18</v>
      </c>
      <c r="G16" t="s">
        <v>76</v>
      </c>
    </row>
    <row r="17" spans="1:7" x14ac:dyDescent="0.3">
      <c r="A17" t="s">
        <v>149</v>
      </c>
      <c r="B17" t="s">
        <v>150</v>
      </c>
      <c r="C17" t="s">
        <v>87</v>
      </c>
      <c r="D17" t="s">
        <v>87</v>
      </c>
      <c r="E17">
        <v>1</v>
      </c>
      <c r="F17" t="s">
        <v>18</v>
      </c>
      <c r="G17" t="s">
        <v>143</v>
      </c>
    </row>
    <row r="18" spans="1:7" x14ac:dyDescent="0.3">
      <c r="A18" t="s">
        <v>153</v>
      </c>
      <c r="B18" t="s">
        <v>154</v>
      </c>
      <c r="C18" t="s">
        <v>156</v>
      </c>
      <c r="D18" t="s">
        <v>157</v>
      </c>
      <c r="E18">
        <v>3</v>
      </c>
      <c r="F18" t="s">
        <v>19</v>
      </c>
      <c r="G18" t="s">
        <v>76</v>
      </c>
    </row>
    <row r="19" spans="1:7" x14ac:dyDescent="0.3">
      <c r="A19" t="s">
        <v>160</v>
      </c>
      <c r="B19" t="s">
        <v>161</v>
      </c>
      <c r="C19" t="s">
        <v>156</v>
      </c>
      <c r="D19" t="s">
        <v>162</v>
      </c>
      <c r="E19">
        <v>2</v>
      </c>
      <c r="F19" t="s">
        <v>19</v>
      </c>
      <c r="G19" t="s">
        <v>76</v>
      </c>
    </row>
    <row r="20" spans="1:7" x14ac:dyDescent="0.3">
      <c r="A20" t="s">
        <v>165</v>
      </c>
      <c r="B20" t="s">
        <v>166</v>
      </c>
      <c r="C20" t="s">
        <v>157</v>
      </c>
      <c r="D20" t="s">
        <v>167</v>
      </c>
      <c r="E20">
        <v>2</v>
      </c>
      <c r="F20" t="s">
        <v>19</v>
      </c>
      <c r="G20" t="s">
        <v>76</v>
      </c>
    </row>
    <row r="21" spans="1:7" x14ac:dyDescent="0.3">
      <c r="A21" t="s">
        <v>170</v>
      </c>
      <c r="B21" t="s">
        <v>171</v>
      </c>
      <c r="C21" t="s">
        <v>167</v>
      </c>
      <c r="D21" t="s">
        <v>172</v>
      </c>
      <c r="E21">
        <v>2</v>
      </c>
      <c r="F21" t="s">
        <v>19</v>
      </c>
      <c r="G21" t="s">
        <v>153</v>
      </c>
    </row>
    <row r="22" spans="1:7" x14ac:dyDescent="0.3">
      <c r="A22" t="s">
        <v>178</v>
      </c>
      <c r="B22" t="s">
        <v>179</v>
      </c>
      <c r="C22" t="s">
        <v>157</v>
      </c>
      <c r="D22" t="s">
        <v>167</v>
      </c>
      <c r="E22">
        <v>2</v>
      </c>
      <c r="F22" t="s">
        <v>19</v>
      </c>
      <c r="G22" t="s">
        <v>153</v>
      </c>
    </row>
    <row r="23" spans="1:7" x14ac:dyDescent="0.3">
      <c r="A23" t="s">
        <v>182</v>
      </c>
      <c r="B23" t="s">
        <v>183</v>
      </c>
      <c r="C23" t="s">
        <v>156</v>
      </c>
      <c r="D23" t="s">
        <v>162</v>
      </c>
      <c r="E23">
        <v>2</v>
      </c>
      <c r="F23" t="s">
        <v>19</v>
      </c>
      <c r="G23" t="s">
        <v>90</v>
      </c>
    </row>
    <row r="24" spans="1:7" x14ac:dyDescent="0.3">
      <c r="A24" t="s">
        <v>186</v>
      </c>
      <c r="B24" t="s">
        <v>187</v>
      </c>
      <c r="C24" t="s">
        <v>162</v>
      </c>
      <c r="D24" t="s">
        <v>162</v>
      </c>
      <c r="E24">
        <v>0.5</v>
      </c>
      <c r="F24" t="s">
        <v>19</v>
      </c>
      <c r="G24" t="s">
        <v>69</v>
      </c>
    </row>
    <row r="25" spans="1:7" x14ac:dyDescent="0.3">
      <c r="A25" t="s">
        <v>191</v>
      </c>
      <c r="B25" t="s">
        <v>192</v>
      </c>
      <c r="C25" t="s">
        <v>162</v>
      </c>
      <c r="D25" t="s">
        <v>157</v>
      </c>
      <c r="E25">
        <v>1</v>
      </c>
      <c r="F25" t="s">
        <v>19</v>
      </c>
      <c r="G25" t="s">
        <v>69</v>
      </c>
    </row>
    <row r="26" spans="1:7" x14ac:dyDescent="0.3">
      <c r="A26" t="s">
        <v>194</v>
      </c>
      <c r="B26" t="s">
        <v>195</v>
      </c>
      <c r="C26" t="s">
        <v>156</v>
      </c>
      <c r="D26" t="s">
        <v>156</v>
      </c>
      <c r="E26">
        <v>0.5</v>
      </c>
      <c r="F26" t="s">
        <v>19</v>
      </c>
      <c r="G26" t="s">
        <v>76</v>
      </c>
    </row>
    <row r="27" spans="1:7" x14ac:dyDescent="0.3">
      <c r="A27" t="s">
        <v>198</v>
      </c>
      <c r="B27" t="s">
        <v>199</v>
      </c>
      <c r="C27" t="s">
        <v>162</v>
      </c>
      <c r="D27" t="s">
        <v>162</v>
      </c>
      <c r="E27">
        <v>1</v>
      </c>
      <c r="F27" t="s">
        <v>19</v>
      </c>
      <c r="G27" t="s">
        <v>76</v>
      </c>
    </row>
    <row r="28" spans="1:7" x14ac:dyDescent="0.3">
      <c r="A28" t="s">
        <v>202</v>
      </c>
      <c r="B28" t="s">
        <v>203</v>
      </c>
      <c r="C28" t="s">
        <v>172</v>
      </c>
      <c r="D28" t="s">
        <v>172</v>
      </c>
      <c r="E28">
        <v>1</v>
      </c>
      <c r="F28" t="s">
        <v>19</v>
      </c>
      <c r="G28" t="s">
        <v>204</v>
      </c>
    </row>
    <row r="29" spans="1:7" x14ac:dyDescent="0.3">
      <c r="A29" t="s">
        <v>207</v>
      </c>
      <c r="B29" t="s">
        <v>208</v>
      </c>
      <c r="C29" t="s">
        <v>167</v>
      </c>
      <c r="D29" t="s">
        <v>167</v>
      </c>
      <c r="E29">
        <v>1</v>
      </c>
      <c r="F29" t="s">
        <v>19</v>
      </c>
      <c r="G29" t="s">
        <v>178</v>
      </c>
    </row>
    <row r="30" spans="1:7" x14ac:dyDescent="0.3">
      <c r="A30" t="s">
        <v>211</v>
      </c>
      <c r="B30" t="s">
        <v>212</v>
      </c>
      <c r="C30" t="s">
        <v>214</v>
      </c>
      <c r="D30" t="s">
        <v>215</v>
      </c>
      <c r="E30">
        <v>2</v>
      </c>
      <c r="F30" t="s">
        <v>19</v>
      </c>
      <c r="G30" t="s">
        <v>107</v>
      </c>
    </row>
    <row r="31" spans="1:7" x14ac:dyDescent="0.3">
      <c r="A31" t="s">
        <v>218</v>
      </c>
      <c r="B31" t="s">
        <v>219</v>
      </c>
      <c r="C31" t="s">
        <v>214</v>
      </c>
      <c r="D31" t="s">
        <v>214</v>
      </c>
      <c r="E31">
        <v>1</v>
      </c>
      <c r="F31" t="s">
        <v>19</v>
      </c>
      <c r="G31" t="s">
        <v>211</v>
      </c>
    </row>
    <row r="32" spans="1:7" x14ac:dyDescent="0.3">
      <c r="A32" t="s">
        <v>222</v>
      </c>
      <c r="B32" t="s">
        <v>223</v>
      </c>
      <c r="C32" t="s">
        <v>215</v>
      </c>
      <c r="D32" t="s">
        <v>224</v>
      </c>
      <c r="E32">
        <v>2</v>
      </c>
      <c r="F32" t="s">
        <v>19</v>
      </c>
      <c r="G32" t="s">
        <v>211</v>
      </c>
    </row>
    <row r="33" spans="1:7" x14ac:dyDescent="0.3">
      <c r="A33" t="s">
        <v>227</v>
      </c>
      <c r="B33" t="s">
        <v>228</v>
      </c>
      <c r="C33" t="s">
        <v>224</v>
      </c>
      <c r="D33" t="s">
        <v>229</v>
      </c>
      <c r="E33">
        <v>2</v>
      </c>
      <c r="F33" t="s">
        <v>19</v>
      </c>
      <c r="G33" t="s">
        <v>230</v>
      </c>
    </row>
    <row r="34" spans="1:7" x14ac:dyDescent="0.3">
      <c r="A34" t="s">
        <v>233</v>
      </c>
      <c r="B34" t="s">
        <v>234</v>
      </c>
      <c r="C34" t="s">
        <v>215</v>
      </c>
      <c r="D34" t="s">
        <v>235</v>
      </c>
      <c r="E34">
        <v>4</v>
      </c>
      <c r="F34" t="s">
        <v>19</v>
      </c>
      <c r="G34" t="s">
        <v>236</v>
      </c>
    </row>
    <row r="35" spans="1:7" x14ac:dyDescent="0.3">
      <c r="A35" t="s">
        <v>239</v>
      </c>
      <c r="B35" t="s">
        <v>240</v>
      </c>
      <c r="C35" t="s">
        <v>229</v>
      </c>
      <c r="D35" t="s">
        <v>229</v>
      </c>
      <c r="E35">
        <v>1</v>
      </c>
      <c r="F35" t="s">
        <v>19</v>
      </c>
      <c r="G35" t="s">
        <v>233</v>
      </c>
    </row>
    <row r="36" spans="1:7" x14ac:dyDescent="0.3">
      <c r="A36" t="s">
        <v>243</v>
      </c>
      <c r="B36" t="s">
        <v>244</v>
      </c>
      <c r="C36" t="s">
        <v>235</v>
      </c>
      <c r="D36" t="s">
        <v>235</v>
      </c>
      <c r="E36">
        <v>1</v>
      </c>
      <c r="F36" t="s">
        <v>19</v>
      </c>
      <c r="G36" t="s">
        <v>245</v>
      </c>
    </row>
    <row r="37" spans="1:7" x14ac:dyDescent="0.3">
      <c r="A37" t="s">
        <v>248</v>
      </c>
      <c r="B37" t="s">
        <v>249</v>
      </c>
      <c r="C37" t="s">
        <v>235</v>
      </c>
      <c r="D37" t="s">
        <v>235</v>
      </c>
      <c r="E37">
        <v>0.5</v>
      </c>
      <c r="F37" t="s">
        <v>19</v>
      </c>
      <c r="G37" t="s">
        <v>243</v>
      </c>
    </row>
    <row r="38" spans="1:7" x14ac:dyDescent="0.3">
      <c r="A38" t="s">
        <v>253</v>
      </c>
      <c r="B38" t="s">
        <v>254</v>
      </c>
      <c r="C38" t="s">
        <v>224</v>
      </c>
      <c r="D38" t="s">
        <v>224</v>
      </c>
      <c r="E38">
        <v>1</v>
      </c>
      <c r="F38" t="s">
        <v>19</v>
      </c>
      <c r="G38" t="s">
        <v>69</v>
      </c>
    </row>
    <row r="39" spans="1:7" x14ac:dyDescent="0.3">
      <c r="A39" t="s">
        <v>257</v>
      </c>
      <c r="B39" t="s">
        <v>258</v>
      </c>
      <c r="C39" t="s">
        <v>224</v>
      </c>
      <c r="D39" t="s">
        <v>224</v>
      </c>
      <c r="E39">
        <v>1</v>
      </c>
      <c r="F39" t="s">
        <v>19</v>
      </c>
      <c r="G39" t="s">
        <v>259</v>
      </c>
    </row>
    <row r="40" spans="1:7" x14ac:dyDescent="0.3">
      <c r="A40" t="s">
        <v>262</v>
      </c>
      <c r="B40" t="s">
        <v>263</v>
      </c>
      <c r="C40" t="s">
        <v>215</v>
      </c>
      <c r="D40" t="s">
        <v>215</v>
      </c>
      <c r="E40">
        <v>1</v>
      </c>
      <c r="F40" t="s">
        <v>19</v>
      </c>
      <c r="G40" t="s">
        <v>76</v>
      </c>
    </row>
    <row r="41" spans="1:7" x14ac:dyDescent="0.3">
      <c r="A41" t="s">
        <v>266</v>
      </c>
      <c r="B41" t="s">
        <v>267</v>
      </c>
      <c r="C41" t="s">
        <v>229</v>
      </c>
      <c r="D41" t="s">
        <v>229</v>
      </c>
      <c r="E41">
        <v>1</v>
      </c>
      <c r="F41" t="s">
        <v>19</v>
      </c>
      <c r="G41" t="s">
        <v>191</v>
      </c>
    </row>
    <row r="42" spans="1:7" x14ac:dyDescent="0.3">
      <c r="A42" t="s">
        <v>270</v>
      </c>
      <c r="B42" t="s">
        <v>271</v>
      </c>
      <c r="C42" t="s">
        <v>235</v>
      </c>
      <c r="D42" t="s">
        <v>235</v>
      </c>
      <c r="E42">
        <v>1</v>
      </c>
      <c r="F42" t="s">
        <v>19</v>
      </c>
      <c r="G42" t="s">
        <v>76</v>
      </c>
    </row>
    <row r="43" spans="1:7" x14ac:dyDescent="0.3">
      <c r="A43" t="s">
        <v>274</v>
      </c>
      <c r="B43" t="s">
        <v>275</v>
      </c>
      <c r="C43" t="s">
        <v>235</v>
      </c>
      <c r="D43" t="s">
        <v>235</v>
      </c>
      <c r="E43">
        <v>0.5</v>
      </c>
      <c r="F43" t="s">
        <v>19</v>
      </c>
      <c r="G43" t="s">
        <v>270</v>
      </c>
    </row>
    <row r="44" spans="1:7" x14ac:dyDescent="0.3">
      <c r="A44" t="s">
        <v>279</v>
      </c>
      <c r="B44" t="s">
        <v>280</v>
      </c>
      <c r="C44" t="s">
        <v>235</v>
      </c>
      <c r="D44" t="s">
        <v>235</v>
      </c>
      <c r="E44">
        <v>1</v>
      </c>
      <c r="F44" t="s">
        <v>19</v>
      </c>
      <c r="G44" t="s">
        <v>245</v>
      </c>
    </row>
    <row r="45" spans="1:7" x14ac:dyDescent="0.3">
      <c r="A45" t="s">
        <v>283</v>
      </c>
      <c r="B45" t="s">
        <v>284</v>
      </c>
      <c r="C45" t="s">
        <v>286</v>
      </c>
      <c r="D45" t="s">
        <v>287</v>
      </c>
      <c r="E45">
        <v>3</v>
      </c>
      <c r="F45" t="s">
        <v>20</v>
      </c>
      <c r="G45" t="s">
        <v>211</v>
      </c>
    </row>
    <row r="46" spans="1:7" x14ac:dyDescent="0.3">
      <c r="A46" t="s">
        <v>290</v>
      </c>
      <c r="B46" t="s">
        <v>291</v>
      </c>
      <c r="C46" t="s">
        <v>292</v>
      </c>
      <c r="D46" t="s">
        <v>292</v>
      </c>
      <c r="E46">
        <v>1</v>
      </c>
      <c r="F46" t="s">
        <v>20</v>
      </c>
      <c r="G46" t="s">
        <v>283</v>
      </c>
    </row>
    <row r="47" spans="1:7" x14ac:dyDescent="0.3">
      <c r="A47" t="s">
        <v>295</v>
      </c>
      <c r="B47" t="s">
        <v>296</v>
      </c>
      <c r="C47" t="s">
        <v>287</v>
      </c>
      <c r="D47" t="s">
        <v>297</v>
      </c>
      <c r="E47">
        <v>2</v>
      </c>
      <c r="F47" t="s">
        <v>20</v>
      </c>
      <c r="G47" t="s">
        <v>298</v>
      </c>
    </row>
    <row r="48" spans="1:7" x14ac:dyDescent="0.3">
      <c r="A48" t="s">
        <v>301</v>
      </c>
      <c r="B48" t="s">
        <v>302</v>
      </c>
      <c r="C48" t="s">
        <v>286</v>
      </c>
      <c r="D48" t="s">
        <v>292</v>
      </c>
      <c r="E48">
        <v>2</v>
      </c>
      <c r="F48" t="s">
        <v>20</v>
      </c>
      <c r="G48" t="s">
        <v>69</v>
      </c>
    </row>
    <row r="49" spans="1:7" x14ac:dyDescent="0.3">
      <c r="A49" t="s">
        <v>305</v>
      </c>
      <c r="B49" t="s">
        <v>306</v>
      </c>
      <c r="C49" t="s">
        <v>297</v>
      </c>
      <c r="D49" t="s">
        <v>307</v>
      </c>
      <c r="E49">
        <v>2</v>
      </c>
      <c r="F49" t="s">
        <v>20</v>
      </c>
      <c r="G49" t="s">
        <v>222</v>
      </c>
    </row>
    <row r="50" spans="1:7" x14ac:dyDescent="0.3">
      <c r="A50" t="s">
        <v>310</v>
      </c>
      <c r="B50" t="s">
        <v>311</v>
      </c>
      <c r="C50" t="s">
        <v>286</v>
      </c>
      <c r="D50" t="s">
        <v>292</v>
      </c>
      <c r="E50">
        <v>2</v>
      </c>
      <c r="F50" t="s">
        <v>20</v>
      </c>
      <c r="G50" t="s">
        <v>111</v>
      </c>
    </row>
    <row r="51" spans="1:7" x14ac:dyDescent="0.3">
      <c r="A51" t="s">
        <v>314</v>
      </c>
      <c r="B51" t="s">
        <v>315</v>
      </c>
      <c r="C51" t="s">
        <v>287</v>
      </c>
      <c r="D51" t="s">
        <v>287</v>
      </c>
      <c r="E51">
        <v>1</v>
      </c>
      <c r="F51" t="s">
        <v>20</v>
      </c>
      <c r="G51" t="s">
        <v>111</v>
      </c>
    </row>
    <row r="52" spans="1:7" x14ac:dyDescent="0.3">
      <c r="A52" t="s">
        <v>318</v>
      </c>
      <c r="B52" t="s">
        <v>319</v>
      </c>
      <c r="C52" t="s">
        <v>292</v>
      </c>
      <c r="D52" t="s">
        <v>292</v>
      </c>
      <c r="E52">
        <v>1</v>
      </c>
      <c r="F52" t="s">
        <v>20</v>
      </c>
      <c r="G52" t="s">
        <v>107</v>
      </c>
    </row>
    <row r="53" spans="1:7" x14ac:dyDescent="0.3">
      <c r="A53" t="s">
        <v>322</v>
      </c>
      <c r="B53" t="s">
        <v>323</v>
      </c>
      <c r="C53" t="s">
        <v>287</v>
      </c>
      <c r="D53" t="s">
        <v>297</v>
      </c>
      <c r="E53">
        <v>2</v>
      </c>
      <c r="F53" t="s">
        <v>20</v>
      </c>
      <c r="G53" t="s">
        <v>318</v>
      </c>
    </row>
    <row r="54" spans="1:7" x14ac:dyDescent="0.3">
      <c r="A54" t="s">
        <v>326</v>
      </c>
      <c r="B54" t="s">
        <v>327</v>
      </c>
      <c r="C54" t="s">
        <v>292</v>
      </c>
      <c r="D54" t="s">
        <v>292</v>
      </c>
      <c r="E54">
        <v>1</v>
      </c>
      <c r="F54" t="s">
        <v>20</v>
      </c>
      <c r="G54" t="s">
        <v>85</v>
      </c>
    </row>
    <row r="55" spans="1:7" x14ac:dyDescent="0.3">
      <c r="A55" t="s">
        <v>330</v>
      </c>
      <c r="B55" t="s">
        <v>331</v>
      </c>
      <c r="C55" t="s">
        <v>287</v>
      </c>
      <c r="D55" t="s">
        <v>287</v>
      </c>
      <c r="E55">
        <v>0.5</v>
      </c>
      <c r="F55" t="s">
        <v>20</v>
      </c>
      <c r="G55" t="s">
        <v>85</v>
      </c>
    </row>
    <row r="56" spans="1:7" x14ac:dyDescent="0.3">
      <c r="A56" t="s">
        <v>334</v>
      </c>
      <c r="B56" t="s">
        <v>335</v>
      </c>
      <c r="C56" t="s">
        <v>286</v>
      </c>
      <c r="D56" t="s">
        <v>292</v>
      </c>
      <c r="E56">
        <v>2</v>
      </c>
      <c r="F56" t="s">
        <v>20</v>
      </c>
      <c r="G56" t="s">
        <v>124</v>
      </c>
    </row>
    <row r="57" spans="1:7" x14ac:dyDescent="0.3">
      <c r="A57" t="s">
        <v>338</v>
      </c>
      <c r="B57" t="s">
        <v>339</v>
      </c>
      <c r="C57" t="s">
        <v>297</v>
      </c>
      <c r="D57" t="s">
        <v>297</v>
      </c>
      <c r="E57">
        <v>1</v>
      </c>
      <c r="F57" t="s">
        <v>20</v>
      </c>
      <c r="G57" t="s">
        <v>90</v>
      </c>
    </row>
    <row r="58" spans="1:7" x14ac:dyDescent="0.3">
      <c r="A58" t="s">
        <v>342</v>
      </c>
      <c r="B58" t="s">
        <v>343</v>
      </c>
      <c r="C58" t="s">
        <v>307</v>
      </c>
      <c r="D58" t="s">
        <v>307</v>
      </c>
      <c r="E58">
        <v>1</v>
      </c>
      <c r="F58" t="s">
        <v>20</v>
      </c>
      <c r="G58" t="s">
        <v>218</v>
      </c>
    </row>
    <row r="59" spans="1:7" x14ac:dyDescent="0.3">
      <c r="A59" t="s">
        <v>346</v>
      </c>
      <c r="B59" t="s">
        <v>347</v>
      </c>
      <c r="C59" t="s">
        <v>307</v>
      </c>
      <c r="D59" t="s">
        <v>307</v>
      </c>
      <c r="E59">
        <v>1</v>
      </c>
      <c r="F59" t="s">
        <v>20</v>
      </c>
      <c r="G59" t="s">
        <v>348</v>
      </c>
    </row>
    <row r="60" spans="1:7" x14ac:dyDescent="0.3">
      <c r="A60" t="s">
        <v>351</v>
      </c>
      <c r="B60" t="s">
        <v>352</v>
      </c>
      <c r="C60" t="s">
        <v>354</v>
      </c>
      <c r="D60" t="s">
        <v>355</v>
      </c>
      <c r="E60">
        <v>2</v>
      </c>
      <c r="F60" t="s">
        <v>20</v>
      </c>
      <c r="G60" t="s">
        <v>186</v>
      </c>
    </row>
    <row r="61" spans="1:7" x14ac:dyDescent="0.3">
      <c r="A61" t="s">
        <v>358</v>
      </c>
      <c r="B61" t="s">
        <v>359</v>
      </c>
      <c r="C61" t="s">
        <v>354</v>
      </c>
      <c r="D61" t="s">
        <v>354</v>
      </c>
      <c r="E61">
        <v>1</v>
      </c>
      <c r="F61" t="s">
        <v>20</v>
      </c>
      <c r="G61" t="s">
        <v>191</v>
      </c>
    </row>
    <row r="62" spans="1:7" x14ac:dyDescent="0.3">
      <c r="A62" t="s">
        <v>362</v>
      </c>
      <c r="B62" t="s">
        <v>363</v>
      </c>
      <c r="C62" t="s">
        <v>355</v>
      </c>
      <c r="D62" t="s">
        <v>364</v>
      </c>
      <c r="E62">
        <v>2</v>
      </c>
      <c r="F62" t="s">
        <v>20</v>
      </c>
      <c r="G62" t="s">
        <v>253</v>
      </c>
    </row>
    <row r="63" spans="1:7" x14ac:dyDescent="0.3">
      <c r="A63" t="s">
        <v>367</v>
      </c>
      <c r="B63" t="s">
        <v>368</v>
      </c>
      <c r="C63" t="s">
        <v>364</v>
      </c>
      <c r="D63" t="s">
        <v>364</v>
      </c>
      <c r="E63">
        <v>1</v>
      </c>
      <c r="F63" t="s">
        <v>20</v>
      </c>
      <c r="G63" t="s">
        <v>362</v>
      </c>
    </row>
    <row r="64" spans="1:7" x14ac:dyDescent="0.3">
      <c r="A64" t="s">
        <v>371</v>
      </c>
      <c r="B64" t="s">
        <v>372</v>
      </c>
      <c r="C64" t="s">
        <v>364</v>
      </c>
      <c r="D64" t="s">
        <v>373</v>
      </c>
      <c r="E64">
        <v>2</v>
      </c>
      <c r="F64" t="s">
        <v>20</v>
      </c>
      <c r="G64" t="s">
        <v>326</v>
      </c>
    </row>
    <row r="65" spans="1:7" x14ac:dyDescent="0.3">
      <c r="A65" t="s">
        <v>376</v>
      </c>
      <c r="B65" t="s">
        <v>377</v>
      </c>
      <c r="C65" t="s">
        <v>373</v>
      </c>
      <c r="D65" t="s">
        <v>373</v>
      </c>
      <c r="E65">
        <v>1</v>
      </c>
      <c r="F65" t="s">
        <v>20</v>
      </c>
      <c r="G65" t="s">
        <v>330</v>
      </c>
    </row>
    <row r="66" spans="1:7" x14ac:dyDescent="0.3">
      <c r="A66" t="s">
        <v>380</v>
      </c>
      <c r="B66" t="s">
        <v>381</v>
      </c>
      <c r="C66" t="s">
        <v>373</v>
      </c>
      <c r="D66" t="s">
        <v>373</v>
      </c>
      <c r="E66">
        <v>0.5</v>
      </c>
      <c r="F66" t="s">
        <v>20</v>
      </c>
      <c r="G66" t="s">
        <v>301</v>
      </c>
    </row>
    <row r="67" spans="1:7" x14ac:dyDescent="0.3">
      <c r="A67" t="s">
        <v>384</v>
      </c>
      <c r="B67" t="s">
        <v>385</v>
      </c>
      <c r="C67" t="s">
        <v>354</v>
      </c>
      <c r="D67" t="s">
        <v>354</v>
      </c>
      <c r="E67">
        <v>1</v>
      </c>
      <c r="F67" t="s">
        <v>20</v>
      </c>
      <c r="G67" t="s">
        <v>85</v>
      </c>
    </row>
    <row r="68" spans="1:7" x14ac:dyDescent="0.3">
      <c r="A68" t="s">
        <v>388</v>
      </c>
      <c r="B68" t="s">
        <v>389</v>
      </c>
      <c r="C68" t="s">
        <v>355</v>
      </c>
      <c r="D68" t="s">
        <v>355</v>
      </c>
      <c r="E68">
        <v>1</v>
      </c>
      <c r="F68" t="s">
        <v>20</v>
      </c>
      <c r="G68" t="s">
        <v>182</v>
      </c>
    </row>
    <row r="69" spans="1:7" x14ac:dyDescent="0.3">
      <c r="A69" t="s">
        <v>392</v>
      </c>
      <c r="B69" t="s">
        <v>393</v>
      </c>
      <c r="C69" t="s">
        <v>354</v>
      </c>
      <c r="D69" t="s">
        <v>354</v>
      </c>
      <c r="E69">
        <v>1</v>
      </c>
      <c r="F69" t="s">
        <v>20</v>
      </c>
      <c r="G69" t="s">
        <v>178</v>
      </c>
    </row>
    <row r="70" spans="1:7" x14ac:dyDescent="0.3">
      <c r="A70" t="s">
        <v>396</v>
      </c>
      <c r="B70" t="s">
        <v>397</v>
      </c>
      <c r="C70" t="s">
        <v>355</v>
      </c>
      <c r="D70" t="s">
        <v>355</v>
      </c>
      <c r="E70">
        <v>1</v>
      </c>
      <c r="F70" t="s">
        <v>20</v>
      </c>
      <c r="G70" t="s">
        <v>178</v>
      </c>
    </row>
    <row r="71" spans="1:7" x14ac:dyDescent="0.3">
      <c r="A71" t="s">
        <v>400</v>
      </c>
      <c r="B71" t="s">
        <v>401</v>
      </c>
      <c r="C71" t="s">
        <v>364</v>
      </c>
      <c r="D71" t="s">
        <v>364</v>
      </c>
      <c r="E71">
        <v>1</v>
      </c>
      <c r="F71" t="s">
        <v>20</v>
      </c>
      <c r="G71" t="s">
        <v>402</v>
      </c>
    </row>
    <row r="72" spans="1:7" x14ac:dyDescent="0.3">
      <c r="A72" t="s">
        <v>405</v>
      </c>
      <c r="B72" t="s">
        <v>406</v>
      </c>
      <c r="C72" t="s">
        <v>355</v>
      </c>
      <c r="D72" t="s">
        <v>364</v>
      </c>
      <c r="E72">
        <v>2</v>
      </c>
      <c r="F72" t="s">
        <v>20</v>
      </c>
      <c r="G72" t="s">
        <v>305</v>
      </c>
    </row>
    <row r="73" spans="1:7" x14ac:dyDescent="0.3">
      <c r="A73" t="s">
        <v>409</v>
      </c>
      <c r="B73" t="s">
        <v>410</v>
      </c>
      <c r="C73" t="s">
        <v>373</v>
      </c>
      <c r="D73" t="s">
        <v>373</v>
      </c>
      <c r="E73">
        <v>1</v>
      </c>
      <c r="F73" t="s">
        <v>20</v>
      </c>
      <c r="G73" t="s">
        <v>90</v>
      </c>
    </row>
    <row r="74" spans="1:7" x14ac:dyDescent="0.3">
      <c r="A74" t="s">
        <v>413</v>
      </c>
      <c r="B74" t="s">
        <v>414</v>
      </c>
      <c r="C74" t="s">
        <v>373</v>
      </c>
      <c r="D74" t="s">
        <v>373</v>
      </c>
      <c r="E74">
        <v>1</v>
      </c>
      <c r="F74" t="s">
        <v>20</v>
      </c>
      <c r="G74" t="s">
        <v>182</v>
      </c>
    </row>
    <row r="75" spans="1:7" x14ac:dyDescent="0.3">
      <c r="A75" t="s">
        <v>417</v>
      </c>
      <c r="B75" t="s">
        <v>418</v>
      </c>
      <c r="C75" t="s">
        <v>420</v>
      </c>
      <c r="D75" t="s">
        <v>420</v>
      </c>
      <c r="E75">
        <v>1</v>
      </c>
      <c r="F75" t="s">
        <v>21</v>
      </c>
      <c r="G75" t="s">
        <v>76</v>
      </c>
    </row>
    <row r="76" spans="1:7" x14ac:dyDescent="0.3">
      <c r="A76" t="s">
        <v>423</v>
      </c>
      <c r="B76" t="s">
        <v>424</v>
      </c>
      <c r="C76" t="s">
        <v>420</v>
      </c>
      <c r="D76" t="s">
        <v>420</v>
      </c>
      <c r="E76">
        <v>1</v>
      </c>
      <c r="F76" t="s">
        <v>21</v>
      </c>
      <c r="G76" t="s">
        <v>76</v>
      </c>
    </row>
    <row r="77" spans="1:7" x14ac:dyDescent="0.3">
      <c r="A77" t="s">
        <v>427</v>
      </c>
      <c r="B77" t="s">
        <v>428</v>
      </c>
      <c r="C77" t="s">
        <v>429</v>
      </c>
      <c r="D77" t="s">
        <v>429</v>
      </c>
      <c r="E77">
        <v>1</v>
      </c>
      <c r="F77" t="s">
        <v>21</v>
      </c>
      <c r="G77" t="s">
        <v>218</v>
      </c>
    </row>
    <row r="78" spans="1:7" x14ac:dyDescent="0.3">
      <c r="A78" t="s">
        <v>432</v>
      </c>
      <c r="B78" t="s">
        <v>433</v>
      </c>
      <c r="C78" t="s">
        <v>429</v>
      </c>
      <c r="D78" t="s">
        <v>434</v>
      </c>
      <c r="E78">
        <v>2</v>
      </c>
      <c r="F78" t="s">
        <v>21</v>
      </c>
      <c r="G78" t="s">
        <v>111</v>
      </c>
    </row>
    <row r="79" spans="1:7" x14ac:dyDescent="0.3">
      <c r="A79" t="s">
        <v>437</v>
      </c>
      <c r="B79" t="s">
        <v>438</v>
      </c>
      <c r="C79" t="s">
        <v>434</v>
      </c>
      <c r="D79" t="s">
        <v>434</v>
      </c>
      <c r="E79">
        <v>1</v>
      </c>
      <c r="F79" t="s">
        <v>21</v>
      </c>
      <c r="G79" t="s">
        <v>334</v>
      </c>
    </row>
    <row r="80" spans="1:7" x14ac:dyDescent="0.3">
      <c r="A80" t="s">
        <v>441</v>
      </c>
      <c r="B80" t="s">
        <v>442</v>
      </c>
      <c r="C80" t="s">
        <v>434</v>
      </c>
      <c r="D80" t="s">
        <v>434</v>
      </c>
      <c r="E80">
        <v>1</v>
      </c>
      <c r="F80" t="s">
        <v>21</v>
      </c>
      <c r="G80" t="s">
        <v>182</v>
      </c>
    </row>
    <row r="81" spans="1:7" x14ac:dyDescent="0.3">
      <c r="A81" t="s">
        <v>445</v>
      </c>
      <c r="B81" t="s">
        <v>446</v>
      </c>
      <c r="C81" t="s">
        <v>429</v>
      </c>
      <c r="D81" t="s">
        <v>429</v>
      </c>
      <c r="E81">
        <v>1</v>
      </c>
      <c r="F81" t="s">
        <v>21</v>
      </c>
      <c r="G81" t="s">
        <v>111</v>
      </c>
    </row>
    <row r="82" spans="1:7" x14ac:dyDescent="0.3">
      <c r="A82" t="s">
        <v>449</v>
      </c>
      <c r="B82" t="s">
        <v>450</v>
      </c>
      <c r="C82" t="s">
        <v>451</v>
      </c>
      <c r="D82" t="s">
        <v>451</v>
      </c>
      <c r="E82">
        <v>1</v>
      </c>
      <c r="F82" t="s">
        <v>21</v>
      </c>
      <c r="G82" t="s">
        <v>111</v>
      </c>
    </row>
    <row r="83" spans="1:7" x14ac:dyDescent="0.3">
      <c r="A83" t="s">
        <v>454</v>
      </c>
      <c r="B83" t="s">
        <v>455</v>
      </c>
      <c r="C83" t="s">
        <v>451</v>
      </c>
      <c r="D83" t="s">
        <v>451</v>
      </c>
      <c r="E83">
        <v>1</v>
      </c>
      <c r="F83" t="s">
        <v>21</v>
      </c>
      <c r="G83" t="s">
        <v>456</v>
      </c>
    </row>
    <row r="84" spans="1:7" x14ac:dyDescent="0.3">
      <c r="A84" t="s">
        <v>459</v>
      </c>
      <c r="B84" t="s">
        <v>460</v>
      </c>
      <c r="C84" t="s">
        <v>420</v>
      </c>
      <c r="D84" t="s">
        <v>429</v>
      </c>
      <c r="E84">
        <v>2</v>
      </c>
      <c r="F84" t="s">
        <v>21</v>
      </c>
      <c r="G84" t="s">
        <v>400</v>
      </c>
    </row>
    <row r="85" spans="1:7" x14ac:dyDescent="0.3">
      <c r="A85" t="s">
        <v>463</v>
      </c>
      <c r="B85" t="s">
        <v>464</v>
      </c>
      <c r="C85" t="s">
        <v>429</v>
      </c>
      <c r="D85" t="s">
        <v>429</v>
      </c>
      <c r="E85">
        <v>0.5</v>
      </c>
      <c r="F85" t="s">
        <v>21</v>
      </c>
      <c r="G85" t="s">
        <v>351</v>
      </c>
    </row>
    <row r="86" spans="1:7" x14ac:dyDescent="0.3">
      <c r="A86" t="s">
        <v>467</v>
      </c>
      <c r="B86" t="s">
        <v>468</v>
      </c>
      <c r="C86" t="s">
        <v>434</v>
      </c>
      <c r="D86" t="s">
        <v>434</v>
      </c>
      <c r="E86">
        <v>1</v>
      </c>
      <c r="F86" t="s">
        <v>21</v>
      </c>
      <c r="G86" t="s">
        <v>400</v>
      </c>
    </row>
    <row r="87" spans="1:7" x14ac:dyDescent="0.3">
      <c r="A87" t="s">
        <v>471</v>
      </c>
      <c r="B87" t="s">
        <v>472</v>
      </c>
      <c r="C87" t="s">
        <v>451</v>
      </c>
      <c r="D87" t="s">
        <v>451</v>
      </c>
      <c r="E87">
        <v>0.5</v>
      </c>
      <c r="F87" t="s">
        <v>21</v>
      </c>
      <c r="G87" t="s">
        <v>473</v>
      </c>
    </row>
    <row r="88" spans="1:7" x14ac:dyDescent="0.3">
      <c r="A88" t="s">
        <v>476</v>
      </c>
      <c r="B88" t="s">
        <v>477</v>
      </c>
      <c r="C88" t="s">
        <v>451</v>
      </c>
      <c r="D88" t="s">
        <v>451</v>
      </c>
      <c r="E88">
        <v>0.5</v>
      </c>
      <c r="F88" t="s">
        <v>21</v>
      </c>
      <c r="G88" t="s">
        <v>76</v>
      </c>
    </row>
    <row r="89" spans="1:7" x14ac:dyDescent="0.3">
      <c r="A89" t="s">
        <v>480</v>
      </c>
      <c r="B89" t="s">
        <v>481</v>
      </c>
      <c r="C89" t="s">
        <v>434</v>
      </c>
      <c r="D89" t="s">
        <v>434</v>
      </c>
      <c r="E89">
        <v>1</v>
      </c>
      <c r="F89" t="s">
        <v>21</v>
      </c>
      <c r="G89" t="s">
        <v>233</v>
      </c>
    </row>
    <row r="90" spans="1:7" x14ac:dyDescent="0.3">
      <c r="A90" t="s">
        <v>484</v>
      </c>
      <c r="B90" t="s">
        <v>485</v>
      </c>
      <c r="C90" t="s">
        <v>487</v>
      </c>
      <c r="D90" t="s">
        <v>487</v>
      </c>
      <c r="E90">
        <v>1</v>
      </c>
      <c r="F90" t="s">
        <v>21</v>
      </c>
      <c r="G90" t="s">
        <v>134</v>
      </c>
    </row>
    <row r="91" spans="1:7" x14ac:dyDescent="0.3">
      <c r="A91" t="s">
        <v>490</v>
      </c>
      <c r="B91" t="s">
        <v>491</v>
      </c>
      <c r="C91" t="s">
        <v>487</v>
      </c>
      <c r="D91" t="s">
        <v>487</v>
      </c>
      <c r="E91">
        <v>1</v>
      </c>
      <c r="F91" t="s">
        <v>21</v>
      </c>
      <c r="G91" t="s">
        <v>194</v>
      </c>
    </row>
    <row r="92" spans="1:7" x14ac:dyDescent="0.3">
      <c r="A92" t="s">
        <v>494</v>
      </c>
      <c r="B92" t="s">
        <v>495</v>
      </c>
      <c r="C92" t="s">
        <v>496</v>
      </c>
      <c r="D92" t="s">
        <v>496</v>
      </c>
      <c r="E92">
        <v>0.5</v>
      </c>
      <c r="F92" t="s">
        <v>21</v>
      </c>
      <c r="G92" t="s">
        <v>76</v>
      </c>
    </row>
    <row r="93" spans="1:7" x14ac:dyDescent="0.3">
      <c r="A93" t="s">
        <v>498</v>
      </c>
      <c r="B93" t="s">
        <v>499</v>
      </c>
      <c r="C93" t="s">
        <v>487</v>
      </c>
      <c r="D93" t="s">
        <v>487</v>
      </c>
      <c r="E93">
        <v>1</v>
      </c>
      <c r="F93" t="s">
        <v>21</v>
      </c>
      <c r="G93" t="s">
        <v>76</v>
      </c>
    </row>
    <row r="94" spans="1:7" x14ac:dyDescent="0.3">
      <c r="A94" t="s">
        <v>503</v>
      </c>
      <c r="B94" t="s">
        <v>504</v>
      </c>
      <c r="C94" t="s">
        <v>487</v>
      </c>
      <c r="D94" t="s">
        <v>487</v>
      </c>
      <c r="E94">
        <v>0.5</v>
      </c>
      <c r="F94" t="s">
        <v>21</v>
      </c>
      <c r="G94" t="s">
        <v>76</v>
      </c>
    </row>
    <row r="95" spans="1:7" x14ac:dyDescent="0.3">
      <c r="A95" t="s">
        <v>507</v>
      </c>
      <c r="B95" t="s">
        <v>508</v>
      </c>
      <c r="C95" t="s">
        <v>496</v>
      </c>
      <c r="D95" t="s">
        <v>509</v>
      </c>
      <c r="E95">
        <v>2</v>
      </c>
      <c r="F95" t="s">
        <v>21</v>
      </c>
      <c r="G95" t="s">
        <v>510</v>
      </c>
    </row>
    <row r="96" spans="1:7" x14ac:dyDescent="0.3">
      <c r="A96" t="s">
        <v>513</v>
      </c>
      <c r="B96" t="s">
        <v>514</v>
      </c>
      <c r="C96" t="s">
        <v>509</v>
      </c>
      <c r="D96" t="s">
        <v>509</v>
      </c>
      <c r="E96">
        <v>1</v>
      </c>
      <c r="F96" t="s">
        <v>21</v>
      </c>
      <c r="G96" t="s">
        <v>515</v>
      </c>
    </row>
    <row r="97" spans="1:7" x14ac:dyDescent="0.3">
      <c r="A97" t="s">
        <v>518</v>
      </c>
      <c r="B97" t="s">
        <v>519</v>
      </c>
      <c r="C97" t="s">
        <v>496</v>
      </c>
      <c r="D97" t="s">
        <v>496</v>
      </c>
      <c r="E97">
        <v>1</v>
      </c>
      <c r="F97" t="s">
        <v>21</v>
      </c>
      <c r="G97" t="s">
        <v>405</v>
      </c>
    </row>
    <row r="98" spans="1:7" x14ac:dyDescent="0.3">
      <c r="A98" t="s">
        <v>521</v>
      </c>
      <c r="B98" t="s">
        <v>522</v>
      </c>
      <c r="C98" t="s">
        <v>496</v>
      </c>
      <c r="D98" t="s">
        <v>496</v>
      </c>
      <c r="E98">
        <v>0.5</v>
      </c>
      <c r="F98" t="s">
        <v>21</v>
      </c>
      <c r="G98" t="s">
        <v>76</v>
      </c>
    </row>
    <row r="99" spans="1:7" x14ac:dyDescent="0.3">
      <c r="A99" t="s">
        <v>525</v>
      </c>
      <c r="B99" t="s">
        <v>526</v>
      </c>
      <c r="C99" t="s">
        <v>509</v>
      </c>
      <c r="D99" t="s">
        <v>509</v>
      </c>
      <c r="E99">
        <v>1</v>
      </c>
      <c r="F99" t="s">
        <v>21</v>
      </c>
      <c r="G99" t="s">
        <v>202</v>
      </c>
    </row>
    <row r="100" spans="1:7" x14ac:dyDescent="0.3">
      <c r="A100" t="s">
        <v>529</v>
      </c>
      <c r="B100" t="s">
        <v>530</v>
      </c>
      <c r="C100" t="s">
        <v>509</v>
      </c>
      <c r="D100" t="s">
        <v>509</v>
      </c>
      <c r="E100">
        <v>1</v>
      </c>
      <c r="F100" t="s">
        <v>21</v>
      </c>
      <c r="G100" t="s">
        <v>409</v>
      </c>
    </row>
    <row r="101" spans="1:7" x14ac:dyDescent="0.3">
      <c r="A101" t="s">
        <v>533</v>
      </c>
      <c r="B101" t="s">
        <v>534</v>
      </c>
      <c r="C101" t="s">
        <v>496</v>
      </c>
      <c r="D101" t="s">
        <v>509</v>
      </c>
      <c r="E101">
        <v>2</v>
      </c>
      <c r="F101" t="s">
        <v>21</v>
      </c>
      <c r="G101" t="s">
        <v>535</v>
      </c>
    </row>
    <row r="102" spans="1:7" x14ac:dyDescent="0.3">
      <c r="A102" t="s">
        <v>538</v>
      </c>
      <c r="B102" t="s">
        <v>539</v>
      </c>
      <c r="C102" t="s">
        <v>541</v>
      </c>
      <c r="D102" t="s">
        <v>541</v>
      </c>
      <c r="E102">
        <v>1</v>
      </c>
      <c r="F102" t="s">
        <v>22</v>
      </c>
      <c r="G102" t="s">
        <v>76</v>
      </c>
    </row>
    <row r="103" spans="1:7" x14ac:dyDescent="0.3">
      <c r="A103" t="s">
        <v>545</v>
      </c>
      <c r="B103" t="s">
        <v>546</v>
      </c>
      <c r="C103" t="s">
        <v>541</v>
      </c>
      <c r="D103" t="s">
        <v>541</v>
      </c>
      <c r="E103">
        <v>1</v>
      </c>
      <c r="F103" t="s">
        <v>22</v>
      </c>
      <c r="G103" t="s">
        <v>143</v>
      </c>
    </row>
    <row r="104" spans="1:7" x14ac:dyDescent="0.3">
      <c r="A104" t="s">
        <v>550</v>
      </c>
      <c r="B104" t="s">
        <v>551</v>
      </c>
      <c r="C104" t="s">
        <v>552</v>
      </c>
      <c r="D104" t="s">
        <v>552</v>
      </c>
      <c r="E104">
        <v>1</v>
      </c>
      <c r="F104" t="s">
        <v>22</v>
      </c>
      <c r="G104" t="s">
        <v>513</v>
      </c>
    </row>
    <row r="105" spans="1:7" x14ac:dyDescent="0.3">
      <c r="A105" t="s">
        <v>555</v>
      </c>
      <c r="B105" t="s">
        <v>556</v>
      </c>
      <c r="C105" t="s">
        <v>552</v>
      </c>
      <c r="D105" t="s">
        <v>552</v>
      </c>
      <c r="E105">
        <v>1</v>
      </c>
      <c r="F105" t="s">
        <v>22</v>
      </c>
      <c r="G105" t="s">
        <v>538</v>
      </c>
    </row>
    <row r="106" spans="1:7" x14ac:dyDescent="0.3">
      <c r="A106" t="s">
        <v>560</v>
      </c>
      <c r="B106" t="s">
        <v>561</v>
      </c>
      <c r="C106" t="s">
        <v>562</v>
      </c>
      <c r="D106" t="s">
        <v>562</v>
      </c>
      <c r="E106">
        <v>1</v>
      </c>
      <c r="F106" t="s">
        <v>22</v>
      </c>
      <c r="G106" t="s">
        <v>484</v>
      </c>
    </row>
    <row r="107" spans="1:7" x14ac:dyDescent="0.3">
      <c r="A107" t="s">
        <v>564</v>
      </c>
      <c r="B107" t="s">
        <v>565</v>
      </c>
      <c r="C107" t="s">
        <v>541</v>
      </c>
      <c r="D107" t="s">
        <v>562</v>
      </c>
      <c r="E107">
        <v>2</v>
      </c>
      <c r="F107" t="s">
        <v>22</v>
      </c>
      <c r="G107" t="s">
        <v>143</v>
      </c>
    </row>
    <row r="108" spans="1:7" x14ac:dyDescent="0.3">
      <c r="A108" t="s">
        <v>567</v>
      </c>
      <c r="B108" t="s">
        <v>568</v>
      </c>
      <c r="C108" t="s">
        <v>552</v>
      </c>
      <c r="D108" t="s">
        <v>552</v>
      </c>
      <c r="E108">
        <v>0.5</v>
      </c>
      <c r="F108" t="s">
        <v>22</v>
      </c>
      <c r="G108" t="s">
        <v>76</v>
      </c>
    </row>
    <row r="109" spans="1:7" x14ac:dyDescent="0.3">
      <c r="A109" t="s">
        <v>571</v>
      </c>
      <c r="B109" t="s">
        <v>572</v>
      </c>
      <c r="C109" t="s">
        <v>562</v>
      </c>
      <c r="D109" t="s">
        <v>562</v>
      </c>
      <c r="E109">
        <v>1</v>
      </c>
      <c r="F109" t="s">
        <v>22</v>
      </c>
      <c r="G109" t="s">
        <v>76</v>
      </c>
    </row>
    <row r="110" spans="1:7" x14ac:dyDescent="0.3">
      <c r="A110" t="s">
        <v>575</v>
      </c>
      <c r="B110" t="s">
        <v>576</v>
      </c>
      <c r="C110" t="s">
        <v>578</v>
      </c>
      <c r="D110" t="s">
        <v>579</v>
      </c>
      <c r="E110">
        <v>2</v>
      </c>
      <c r="F110" t="s">
        <v>22</v>
      </c>
      <c r="G110" t="s">
        <v>560</v>
      </c>
    </row>
    <row r="111" spans="1:7" x14ac:dyDescent="0.3">
      <c r="A111" t="s">
        <v>584</v>
      </c>
      <c r="B111" t="s">
        <v>585</v>
      </c>
      <c r="C111" t="s">
        <v>578</v>
      </c>
      <c r="D111" t="s">
        <v>579</v>
      </c>
      <c r="E111">
        <v>2</v>
      </c>
      <c r="F111" t="s">
        <v>22</v>
      </c>
      <c r="G111" t="s">
        <v>560</v>
      </c>
    </row>
    <row r="112" spans="1:7" x14ac:dyDescent="0.3">
      <c r="A112" t="s">
        <v>588</v>
      </c>
      <c r="B112" t="s">
        <v>589</v>
      </c>
      <c r="C112" t="s">
        <v>590</v>
      </c>
      <c r="D112" t="s">
        <v>591</v>
      </c>
      <c r="E112">
        <v>2</v>
      </c>
      <c r="F112" t="s">
        <v>22</v>
      </c>
      <c r="G112" t="s">
        <v>560</v>
      </c>
    </row>
    <row r="113" spans="1:7" x14ac:dyDescent="0.3">
      <c r="A113" t="s">
        <v>594</v>
      </c>
      <c r="B113" t="s">
        <v>595</v>
      </c>
      <c r="C113" t="s">
        <v>578</v>
      </c>
      <c r="D113" t="s">
        <v>579</v>
      </c>
      <c r="E113">
        <v>2</v>
      </c>
      <c r="F113" t="s">
        <v>22</v>
      </c>
      <c r="G113" t="s">
        <v>560</v>
      </c>
    </row>
    <row r="114" spans="1:7" x14ac:dyDescent="0.3">
      <c r="A114" t="s">
        <v>599</v>
      </c>
      <c r="B114" t="s">
        <v>600</v>
      </c>
      <c r="C114" t="s">
        <v>590</v>
      </c>
      <c r="D114" t="s">
        <v>590</v>
      </c>
      <c r="E114">
        <v>1</v>
      </c>
      <c r="F114" t="s">
        <v>22</v>
      </c>
      <c r="G114" t="s">
        <v>471</v>
      </c>
    </row>
    <row r="115" spans="1:7" x14ac:dyDescent="0.3">
      <c r="A115" t="s">
        <v>603</v>
      </c>
      <c r="B115" t="s">
        <v>604</v>
      </c>
      <c r="C115" t="s">
        <v>591</v>
      </c>
      <c r="D115" t="s">
        <v>591</v>
      </c>
      <c r="E115">
        <v>1</v>
      </c>
      <c r="F115" t="s">
        <v>22</v>
      </c>
      <c r="G115" t="s">
        <v>605</v>
      </c>
    </row>
    <row r="116" spans="1:7" x14ac:dyDescent="0.3">
      <c r="A116" t="s">
        <v>608</v>
      </c>
      <c r="B116" t="s">
        <v>609</v>
      </c>
      <c r="C116" t="s">
        <v>579</v>
      </c>
      <c r="D116" t="s">
        <v>591</v>
      </c>
      <c r="E116">
        <v>3</v>
      </c>
      <c r="F116" t="s">
        <v>22</v>
      </c>
      <c r="G116" t="s">
        <v>603</v>
      </c>
    </row>
    <row r="117" spans="1:7" x14ac:dyDescent="0.3">
      <c r="A117" t="s">
        <v>611</v>
      </c>
      <c r="B117" t="s">
        <v>612</v>
      </c>
      <c r="C117" t="s">
        <v>591</v>
      </c>
      <c r="D117" t="s">
        <v>591</v>
      </c>
      <c r="E117">
        <v>0.5</v>
      </c>
      <c r="F117" t="s">
        <v>22</v>
      </c>
      <c r="G117" t="s">
        <v>603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19"/>
  <sheetViews>
    <sheetView topLeftCell="A48" workbookViewId="0"/>
  </sheetViews>
  <sheetFormatPr baseColWidth="10" defaultColWidth="8.88671875" defaultRowHeight="14.4" x14ac:dyDescent="0.3"/>
  <cols>
    <col min="1" max="1" width="15" customWidth="1"/>
    <col min="2" max="2" width="55" customWidth="1"/>
    <col min="3" max="4" width="30" customWidth="1"/>
  </cols>
  <sheetData>
    <row r="1" spans="1:4" ht="18" x14ac:dyDescent="0.35">
      <c r="A1" s="2" t="s">
        <v>625</v>
      </c>
    </row>
    <row r="3" spans="1:4" x14ac:dyDescent="0.3">
      <c r="A3" s="7" t="s">
        <v>626</v>
      </c>
      <c r="B3" s="7" t="s">
        <v>55</v>
      </c>
      <c r="C3" s="7" t="s">
        <v>627</v>
      </c>
      <c r="D3" s="7" t="s">
        <v>628</v>
      </c>
    </row>
    <row r="4" spans="1:4" x14ac:dyDescent="0.3">
      <c r="A4" s="8" t="s">
        <v>69</v>
      </c>
      <c r="B4" s="8" t="s">
        <v>70</v>
      </c>
      <c r="C4" s="8" t="s">
        <v>76</v>
      </c>
      <c r="D4" s="8" t="s">
        <v>629</v>
      </c>
    </row>
    <row r="5" spans="1:4" x14ac:dyDescent="0.3">
      <c r="A5" s="8" t="s">
        <v>81</v>
      </c>
      <c r="B5" s="8" t="s">
        <v>82</v>
      </c>
      <c r="C5" s="8" t="s">
        <v>76</v>
      </c>
      <c r="D5" s="8" t="s">
        <v>630</v>
      </c>
    </row>
    <row r="6" spans="1:4" x14ac:dyDescent="0.3">
      <c r="A6" s="8" t="s">
        <v>85</v>
      </c>
      <c r="B6" s="8" t="s">
        <v>86</v>
      </c>
      <c r="C6" s="8" t="s">
        <v>69</v>
      </c>
      <c r="D6" s="8" t="s">
        <v>631</v>
      </c>
    </row>
    <row r="7" spans="1:4" x14ac:dyDescent="0.3">
      <c r="A7" s="8" t="s">
        <v>90</v>
      </c>
      <c r="B7" s="8" t="s">
        <v>91</v>
      </c>
      <c r="C7" s="8" t="s">
        <v>76</v>
      </c>
      <c r="D7" s="8" t="s">
        <v>632</v>
      </c>
    </row>
    <row r="8" spans="1:4" x14ac:dyDescent="0.3">
      <c r="A8" s="8" t="s">
        <v>97</v>
      </c>
      <c r="B8" s="8" t="s">
        <v>98</v>
      </c>
      <c r="C8" s="8" t="s">
        <v>76</v>
      </c>
      <c r="D8" s="8" t="s">
        <v>630</v>
      </c>
    </row>
    <row r="9" spans="1:4" x14ac:dyDescent="0.3">
      <c r="A9" s="8" t="s">
        <v>103</v>
      </c>
      <c r="B9" s="8" t="s">
        <v>104</v>
      </c>
      <c r="C9" s="8" t="s">
        <v>90</v>
      </c>
      <c r="D9" s="8" t="s">
        <v>630</v>
      </c>
    </row>
    <row r="10" spans="1:4" x14ac:dyDescent="0.3">
      <c r="A10" s="8" t="s">
        <v>107</v>
      </c>
      <c r="B10" s="8" t="s">
        <v>108</v>
      </c>
      <c r="C10" s="8" t="s">
        <v>76</v>
      </c>
      <c r="D10" s="8" t="s">
        <v>633</v>
      </c>
    </row>
    <row r="11" spans="1:4" x14ac:dyDescent="0.3">
      <c r="A11" s="8" t="s">
        <v>111</v>
      </c>
      <c r="B11" s="8" t="s">
        <v>112</v>
      </c>
      <c r="C11" s="8" t="s">
        <v>76</v>
      </c>
      <c r="D11" s="8" t="s">
        <v>634</v>
      </c>
    </row>
    <row r="12" spans="1:4" x14ac:dyDescent="0.3">
      <c r="A12" s="8" t="s">
        <v>114</v>
      </c>
      <c r="B12" s="8" t="s">
        <v>115</v>
      </c>
      <c r="C12" s="8" t="s">
        <v>76</v>
      </c>
      <c r="D12" s="8" t="s">
        <v>630</v>
      </c>
    </row>
    <row r="13" spans="1:4" x14ac:dyDescent="0.3">
      <c r="A13" s="8" t="s">
        <v>118</v>
      </c>
      <c r="B13" s="8" t="s">
        <v>119</v>
      </c>
      <c r="C13" s="8" t="s">
        <v>76</v>
      </c>
      <c r="D13" s="8" t="s">
        <v>630</v>
      </c>
    </row>
    <row r="14" spans="1:4" x14ac:dyDescent="0.3">
      <c r="A14" s="8" t="s">
        <v>124</v>
      </c>
      <c r="B14" s="8" t="s">
        <v>125</v>
      </c>
      <c r="C14" s="8" t="s">
        <v>76</v>
      </c>
      <c r="D14" s="8" t="s">
        <v>334</v>
      </c>
    </row>
    <row r="15" spans="1:4" x14ac:dyDescent="0.3">
      <c r="A15" s="8" t="s">
        <v>130</v>
      </c>
      <c r="B15" s="8" t="s">
        <v>131</v>
      </c>
      <c r="C15" s="8" t="s">
        <v>76</v>
      </c>
      <c r="D15" s="8" t="s">
        <v>134</v>
      </c>
    </row>
    <row r="16" spans="1:4" x14ac:dyDescent="0.3">
      <c r="A16" s="8" t="s">
        <v>134</v>
      </c>
      <c r="B16" s="8" t="s">
        <v>135</v>
      </c>
      <c r="C16" s="8" t="s">
        <v>130</v>
      </c>
      <c r="D16" s="8" t="s">
        <v>484</v>
      </c>
    </row>
    <row r="17" spans="1:4" x14ac:dyDescent="0.3">
      <c r="A17" s="8" t="s">
        <v>138</v>
      </c>
      <c r="B17" s="8" t="s">
        <v>139</v>
      </c>
      <c r="C17" s="8" t="s">
        <v>76</v>
      </c>
      <c r="D17" s="8" t="s">
        <v>630</v>
      </c>
    </row>
    <row r="18" spans="1:4" x14ac:dyDescent="0.3">
      <c r="A18" s="8" t="s">
        <v>143</v>
      </c>
      <c r="B18" s="8" t="s">
        <v>144</v>
      </c>
      <c r="C18" s="8" t="s">
        <v>76</v>
      </c>
      <c r="D18" s="8" t="s">
        <v>635</v>
      </c>
    </row>
    <row r="19" spans="1:4" x14ac:dyDescent="0.3">
      <c r="A19" s="8" t="s">
        <v>149</v>
      </c>
      <c r="B19" s="8" t="s">
        <v>150</v>
      </c>
      <c r="C19" s="8" t="s">
        <v>143</v>
      </c>
      <c r="D19" s="8" t="s">
        <v>630</v>
      </c>
    </row>
    <row r="20" spans="1:4" x14ac:dyDescent="0.3">
      <c r="A20" s="8" t="s">
        <v>153</v>
      </c>
      <c r="B20" s="8" t="s">
        <v>154</v>
      </c>
      <c r="C20" s="8" t="s">
        <v>76</v>
      </c>
      <c r="D20" s="8" t="s">
        <v>636</v>
      </c>
    </row>
    <row r="21" spans="1:4" x14ac:dyDescent="0.3">
      <c r="A21" s="8" t="s">
        <v>160</v>
      </c>
      <c r="B21" s="8" t="s">
        <v>161</v>
      </c>
      <c r="C21" s="8" t="s">
        <v>76</v>
      </c>
      <c r="D21" s="8" t="s">
        <v>630</v>
      </c>
    </row>
    <row r="22" spans="1:4" x14ac:dyDescent="0.3">
      <c r="A22" s="8" t="s">
        <v>165</v>
      </c>
      <c r="B22" s="8" t="s">
        <v>166</v>
      </c>
      <c r="C22" s="8" t="s">
        <v>76</v>
      </c>
      <c r="D22" s="8" t="s">
        <v>630</v>
      </c>
    </row>
    <row r="23" spans="1:4" x14ac:dyDescent="0.3">
      <c r="A23" s="8" t="s">
        <v>170</v>
      </c>
      <c r="B23" s="8" t="s">
        <v>171</v>
      </c>
      <c r="C23" s="8" t="s">
        <v>153</v>
      </c>
      <c r="D23" s="8" t="s">
        <v>630</v>
      </c>
    </row>
    <row r="24" spans="1:4" x14ac:dyDescent="0.3">
      <c r="A24" s="8" t="s">
        <v>178</v>
      </c>
      <c r="B24" s="8" t="s">
        <v>179</v>
      </c>
      <c r="C24" s="8" t="s">
        <v>153</v>
      </c>
      <c r="D24" s="8" t="s">
        <v>637</v>
      </c>
    </row>
    <row r="25" spans="1:4" x14ac:dyDescent="0.3">
      <c r="A25" s="8" t="s">
        <v>182</v>
      </c>
      <c r="B25" s="8" t="s">
        <v>183</v>
      </c>
      <c r="C25" s="8" t="s">
        <v>90</v>
      </c>
      <c r="D25" s="8" t="s">
        <v>638</v>
      </c>
    </row>
    <row r="26" spans="1:4" x14ac:dyDescent="0.3">
      <c r="A26" s="8" t="s">
        <v>186</v>
      </c>
      <c r="B26" s="8" t="s">
        <v>187</v>
      </c>
      <c r="C26" s="8" t="s">
        <v>69</v>
      </c>
      <c r="D26" s="8" t="s">
        <v>351</v>
      </c>
    </row>
    <row r="27" spans="1:4" x14ac:dyDescent="0.3">
      <c r="A27" s="8" t="s">
        <v>191</v>
      </c>
      <c r="B27" s="8" t="s">
        <v>192</v>
      </c>
      <c r="C27" s="8" t="s">
        <v>69</v>
      </c>
      <c r="D27" s="8" t="s">
        <v>639</v>
      </c>
    </row>
    <row r="28" spans="1:4" x14ac:dyDescent="0.3">
      <c r="A28" s="8" t="s">
        <v>194</v>
      </c>
      <c r="B28" s="8" t="s">
        <v>195</v>
      </c>
      <c r="C28" s="8" t="s">
        <v>76</v>
      </c>
      <c r="D28" s="8" t="s">
        <v>490</v>
      </c>
    </row>
    <row r="29" spans="1:4" x14ac:dyDescent="0.3">
      <c r="A29" s="8" t="s">
        <v>198</v>
      </c>
      <c r="B29" s="8" t="s">
        <v>199</v>
      </c>
      <c r="C29" s="8" t="s">
        <v>76</v>
      </c>
      <c r="D29" s="8" t="s">
        <v>630</v>
      </c>
    </row>
    <row r="30" spans="1:4" x14ac:dyDescent="0.3">
      <c r="A30" s="8" t="s">
        <v>202</v>
      </c>
      <c r="B30" s="8" t="s">
        <v>203</v>
      </c>
      <c r="C30" s="8" t="s">
        <v>204</v>
      </c>
      <c r="D30" s="8" t="s">
        <v>525</v>
      </c>
    </row>
    <row r="31" spans="1:4" x14ac:dyDescent="0.3">
      <c r="A31" s="8" t="s">
        <v>207</v>
      </c>
      <c r="B31" s="8" t="s">
        <v>208</v>
      </c>
      <c r="C31" s="8" t="s">
        <v>178</v>
      </c>
      <c r="D31" s="8" t="s">
        <v>630</v>
      </c>
    </row>
    <row r="32" spans="1:4" x14ac:dyDescent="0.3">
      <c r="A32" s="8" t="s">
        <v>211</v>
      </c>
      <c r="B32" s="8" t="s">
        <v>212</v>
      </c>
      <c r="C32" s="8" t="s">
        <v>107</v>
      </c>
      <c r="D32" s="8" t="s">
        <v>640</v>
      </c>
    </row>
    <row r="33" spans="1:4" x14ac:dyDescent="0.3">
      <c r="A33" s="8" t="s">
        <v>218</v>
      </c>
      <c r="B33" s="8" t="s">
        <v>219</v>
      </c>
      <c r="C33" s="8" t="s">
        <v>211</v>
      </c>
      <c r="D33" s="8" t="s">
        <v>641</v>
      </c>
    </row>
    <row r="34" spans="1:4" x14ac:dyDescent="0.3">
      <c r="A34" s="8" t="s">
        <v>222</v>
      </c>
      <c r="B34" s="8" t="s">
        <v>223</v>
      </c>
      <c r="C34" s="8" t="s">
        <v>211</v>
      </c>
      <c r="D34" s="8" t="s">
        <v>305</v>
      </c>
    </row>
    <row r="35" spans="1:4" x14ac:dyDescent="0.3">
      <c r="A35" s="8" t="s">
        <v>227</v>
      </c>
      <c r="B35" s="8" t="s">
        <v>228</v>
      </c>
      <c r="C35" s="8" t="s">
        <v>230</v>
      </c>
      <c r="D35" s="8" t="s">
        <v>630</v>
      </c>
    </row>
    <row r="36" spans="1:4" x14ac:dyDescent="0.3">
      <c r="A36" s="8" t="s">
        <v>233</v>
      </c>
      <c r="B36" s="8" t="s">
        <v>234</v>
      </c>
      <c r="C36" s="8" t="s">
        <v>236</v>
      </c>
      <c r="D36" s="8" t="s">
        <v>642</v>
      </c>
    </row>
    <row r="37" spans="1:4" x14ac:dyDescent="0.3">
      <c r="A37" s="8" t="s">
        <v>239</v>
      </c>
      <c r="B37" s="8" t="s">
        <v>240</v>
      </c>
      <c r="C37" s="8" t="s">
        <v>233</v>
      </c>
      <c r="D37" s="8" t="s">
        <v>630</v>
      </c>
    </row>
    <row r="38" spans="1:4" x14ac:dyDescent="0.3">
      <c r="A38" s="8" t="s">
        <v>243</v>
      </c>
      <c r="B38" s="8" t="s">
        <v>244</v>
      </c>
      <c r="C38" s="8" t="s">
        <v>245</v>
      </c>
      <c r="D38" s="8" t="s">
        <v>248</v>
      </c>
    </row>
    <row r="39" spans="1:4" x14ac:dyDescent="0.3">
      <c r="A39" s="8" t="s">
        <v>248</v>
      </c>
      <c r="B39" s="8" t="s">
        <v>249</v>
      </c>
      <c r="C39" s="8" t="s">
        <v>243</v>
      </c>
      <c r="D39" s="8" t="s">
        <v>630</v>
      </c>
    </row>
    <row r="40" spans="1:4" x14ac:dyDescent="0.3">
      <c r="A40" s="8" t="s">
        <v>253</v>
      </c>
      <c r="B40" s="8" t="s">
        <v>254</v>
      </c>
      <c r="C40" s="8" t="s">
        <v>69</v>
      </c>
      <c r="D40" s="8" t="s">
        <v>362</v>
      </c>
    </row>
    <row r="41" spans="1:4" x14ac:dyDescent="0.3">
      <c r="A41" s="8" t="s">
        <v>257</v>
      </c>
      <c r="B41" s="8" t="s">
        <v>258</v>
      </c>
      <c r="C41" s="8" t="s">
        <v>259</v>
      </c>
      <c r="D41" s="8" t="s">
        <v>630</v>
      </c>
    </row>
    <row r="42" spans="1:4" x14ac:dyDescent="0.3">
      <c r="A42" s="8" t="s">
        <v>262</v>
      </c>
      <c r="B42" s="8" t="s">
        <v>263</v>
      </c>
      <c r="C42" s="8" t="s">
        <v>76</v>
      </c>
      <c r="D42" s="8" t="s">
        <v>630</v>
      </c>
    </row>
    <row r="43" spans="1:4" x14ac:dyDescent="0.3">
      <c r="A43" s="8" t="s">
        <v>266</v>
      </c>
      <c r="B43" s="8" t="s">
        <v>267</v>
      </c>
      <c r="C43" s="8" t="s">
        <v>191</v>
      </c>
      <c r="D43" s="8" t="s">
        <v>630</v>
      </c>
    </row>
    <row r="44" spans="1:4" x14ac:dyDescent="0.3">
      <c r="A44" s="8" t="s">
        <v>270</v>
      </c>
      <c r="B44" s="8" t="s">
        <v>271</v>
      </c>
      <c r="C44" s="8" t="s">
        <v>76</v>
      </c>
      <c r="D44" s="8" t="s">
        <v>274</v>
      </c>
    </row>
    <row r="45" spans="1:4" x14ac:dyDescent="0.3">
      <c r="A45" s="8" t="s">
        <v>274</v>
      </c>
      <c r="B45" s="8" t="s">
        <v>275</v>
      </c>
      <c r="C45" s="8" t="s">
        <v>270</v>
      </c>
      <c r="D45" s="8" t="s">
        <v>630</v>
      </c>
    </row>
    <row r="46" spans="1:4" x14ac:dyDescent="0.3">
      <c r="A46" s="8" t="s">
        <v>279</v>
      </c>
      <c r="B46" s="8" t="s">
        <v>280</v>
      </c>
      <c r="C46" s="8" t="s">
        <v>245</v>
      </c>
      <c r="D46" s="8" t="s">
        <v>630</v>
      </c>
    </row>
    <row r="47" spans="1:4" x14ac:dyDescent="0.3">
      <c r="A47" s="8" t="s">
        <v>283</v>
      </c>
      <c r="B47" s="8" t="s">
        <v>284</v>
      </c>
      <c r="C47" s="8" t="s">
        <v>211</v>
      </c>
      <c r="D47" s="8" t="s">
        <v>290</v>
      </c>
    </row>
    <row r="48" spans="1:4" x14ac:dyDescent="0.3">
      <c r="A48" s="8" t="s">
        <v>290</v>
      </c>
      <c r="B48" s="8" t="s">
        <v>291</v>
      </c>
      <c r="C48" s="8" t="s">
        <v>283</v>
      </c>
      <c r="D48" s="8" t="s">
        <v>630</v>
      </c>
    </row>
    <row r="49" spans="1:4" x14ac:dyDescent="0.3">
      <c r="A49" s="8" t="s">
        <v>295</v>
      </c>
      <c r="B49" s="8" t="s">
        <v>296</v>
      </c>
      <c r="C49" s="8" t="s">
        <v>298</v>
      </c>
      <c r="D49" s="8" t="s">
        <v>630</v>
      </c>
    </row>
    <row r="50" spans="1:4" x14ac:dyDescent="0.3">
      <c r="A50" s="8" t="s">
        <v>301</v>
      </c>
      <c r="B50" s="8" t="s">
        <v>302</v>
      </c>
      <c r="C50" s="8" t="s">
        <v>69</v>
      </c>
      <c r="D50" s="8" t="s">
        <v>380</v>
      </c>
    </row>
    <row r="51" spans="1:4" x14ac:dyDescent="0.3">
      <c r="A51" s="8" t="s">
        <v>305</v>
      </c>
      <c r="B51" s="8" t="s">
        <v>306</v>
      </c>
      <c r="C51" s="8" t="s">
        <v>222</v>
      </c>
      <c r="D51" s="8" t="s">
        <v>405</v>
      </c>
    </row>
    <row r="52" spans="1:4" x14ac:dyDescent="0.3">
      <c r="A52" s="8" t="s">
        <v>310</v>
      </c>
      <c r="B52" s="8" t="s">
        <v>311</v>
      </c>
      <c r="C52" s="8" t="s">
        <v>111</v>
      </c>
      <c r="D52" s="8" t="s">
        <v>630</v>
      </c>
    </row>
    <row r="53" spans="1:4" x14ac:dyDescent="0.3">
      <c r="A53" s="8" t="s">
        <v>314</v>
      </c>
      <c r="B53" s="8" t="s">
        <v>315</v>
      </c>
      <c r="C53" s="8" t="s">
        <v>111</v>
      </c>
      <c r="D53" s="8" t="s">
        <v>630</v>
      </c>
    </row>
    <row r="54" spans="1:4" x14ac:dyDescent="0.3">
      <c r="A54" s="8" t="s">
        <v>318</v>
      </c>
      <c r="B54" s="8" t="s">
        <v>319</v>
      </c>
      <c r="C54" s="8" t="s">
        <v>107</v>
      </c>
      <c r="D54" s="8" t="s">
        <v>322</v>
      </c>
    </row>
    <row r="55" spans="1:4" x14ac:dyDescent="0.3">
      <c r="A55" s="8" t="s">
        <v>322</v>
      </c>
      <c r="B55" s="8" t="s">
        <v>323</v>
      </c>
      <c r="C55" s="8" t="s">
        <v>318</v>
      </c>
      <c r="D55" s="8" t="s">
        <v>630</v>
      </c>
    </row>
    <row r="56" spans="1:4" x14ac:dyDescent="0.3">
      <c r="A56" s="8" t="s">
        <v>326</v>
      </c>
      <c r="B56" s="8" t="s">
        <v>327</v>
      </c>
      <c r="C56" s="8" t="s">
        <v>85</v>
      </c>
      <c r="D56" s="8" t="s">
        <v>371</v>
      </c>
    </row>
    <row r="57" spans="1:4" x14ac:dyDescent="0.3">
      <c r="A57" s="8" t="s">
        <v>330</v>
      </c>
      <c r="B57" s="8" t="s">
        <v>331</v>
      </c>
      <c r="C57" s="8" t="s">
        <v>85</v>
      </c>
      <c r="D57" s="8" t="s">
        <v>376</v>
      </c>
    </row>
    <row r="58" spans="1:4" x14ac:dyDescent="0.3">
      <c r="A58" s="8" t="s">
        <v>334</v>
      </c>
      <c r="B58" s="8" t="s">
        <v>335</v>
      </c>
      <c r="C58" s="8" t="s">
        <v>124</v>
      </c>
      <c r="D58" s="8" t="s">
        <v>437</v>
      </c>
    </row>
    <row r="59" spans="1:4" x14ac:dyDescent="0.3">
      <c r="A59" s="8" t="s">
        <v>338</v>
      </c>
      <c r="B59" s="8" t="s">
        <v>339</v>
      </c>
      <c r="C59" s="8" t="s">
        <v>90</v>
      </c>
      <c r="D59" s="8" t="s">
        <v>630</v>
      </c>
    </row>
    <row r="60" spans="1:4" x14ac:dyDescent="0.3">
      <c r="A60" s="8" t="s">
        <v>342</v>
      </c>
      <c r="B60" s="8" t="s">
        <v>343</v>
      </c>
      <c r="C60" s="8" t="s">
        <v>218</v>
      </c>
      <c r="D60" s="8" t="s">
        <v>630</v>
      </c>
    </row>
    <row r="61" spans="1:4" x14ac:dyDescent="0.3">
      <c r="A61" s="8" t="s">
        <v>346</v>
      </c>
      <c r="B61" s="8" t="s">
        <v>347</v>
      </c>
      <c r="C61" s="8" t="s">
        <v>348</v>
      </c>
      <c r="D61" s="8" t="s">
        <v>630</v>
      </c>
    </row>
    <row r="62" spans="1:4" x14ac:dyDescent="0.3">
      <c r="A62" s="8" t="s">
        <v>351</v>
      </c>
      <c r="B62" s="8" t="s">
        <v>352</v>
      </c>
      <c r="C62" s="8" t="s">
        <v>186</v>
      </c>
      <c r="D62" s="8" t="s">
        <v>463</v>
      </c>
    </row>
    <row r="63" spans="1:4" x14ac:dyDescent="0.3">
      <c r="A63" s="8" t="s">
        <v>358</v>
      </c>
      <c r="B63" s="8" t="s">
        <v>359</v>
      </c>
      <c r="C63" s="8" t="s">
        <v>191</v>
      </c>
      <c r="D63" s="8" t="s">
        <v>630</v>
      </c>
    </row>
    <row r="64" spans="1:4" x14ac:dyDescent="0.3">
      <c r="A64" s="8" t="s">
        <v>362</v>
      </c>
      <c r="B64" s="8" t="s">
        <v>363</v>
      </c>
      <c r="C64" s="8" t="s">
        <v>253</v>
      </c>
      <c r="D64" s="8" t="s">
        <v>367</v>
      </c>
    </row>
    <row r="65" spans="1:4" x14ac:dyDescent="0.3">
      <c r="A65" s="8" t="s">
        <v>367</v>
      </c>
      <c r="B65" s="8" t="s">
        <v>368</v>
      </c>
      <c r="C65" s="8" t="s">
        <v>362</v>
      </c>
      <c r="D65" s="8" t="s">
        <v>630</v>
      </c>
    </row>
    <row r="66" spans="1:4" x14ac:dyDescent="0.3">
      <c r="A66" s="8" t="s">
        <v>371</v>
      </c>
      <c r="B66" s="8" t="s">
        <v>372</v>
      </c>
      <c r="C66" s="8" t="s">
        <v>326</v>
      </c>
      <c r="D66" s="8" t="s">
        <v>630</v>
      </c>
    </row>
    <row r="67" spans="1:4" x14ac:dyDescent="0.3">
      <c r="A67" s="8" t="s">
        <v>376</v>
      </c>
      <c r="B67" s="8" t="s">
        <v>377</v>
      </c>
      <c r="C67" s="8" t="s">
        <v>330</v>
      </c>
      <c r="D67" s="8" t="s">
        <v>630</v>
      </c>
    </row>
    <row r="68" spans="1:4" x14ac:dyDescent="0.3">
      <c r="A68" s="8" t="s">
        <v>380</v>
      </c>
      <c r="B68" s="8" t="s">
        <v>381</v>
      </c>
      <c r="C68" s="8" t="s">
        <v>301</v>
      </c>
      <c r="D68" s="8" t="s">
        <v>630</v>
      </c>
    </row>
    <row r="69" spans="1:4" x14ac:dyDescent="0.3">
      <c r="A69" s="8" t="s">
        <v>384</v>
      </c>
      <c r="B69" s="8" t="s">
        <v>385</v>
      </c>
      <c r="C69" s="8" t="s">
        <v>85</v>
      </c>
      <c r="D69" s="8" t="s">
        <v>630</v>
      </c>
    </row>
    <row r="70" spans="1:4" x14ac:dyDescent="0.3">
      <c r="A70" s="8" t="s">
        <v>388</v>
      </c>
      <c r="B70" s="8" t="s">
        <v>389</v>
      </c>
      <c r="C70" s="8" t="s">
        <v>182</v>
      </c>
      <c r="D70" s="8" t="s">
        <v>630</v>
      </c>
    </row>
    <row r="71" spans="1:4" x14ac:dyDescent="0.3">
      <c r="A71" s="8" t="s">
        <v>392</v>
      </c>
      <c r="B71" s="8" t="s">
        <v>393</v>
      </c>
      <c r="C71" s="8" t="s">
        <v>178</v>
      </c>
      <c r="D71" s="8" t="s">
        <v>630</v>
      </c>
    </row>
    <row r="72" spans="1:4" x14ac:dyDescent="0.3">
      <c r="A72" s="8" t="s">
        <v>396</v>
      </c>
      <c r="B72" s="8" t="s">
        <v>397</v>
      </c>
      <c r="C72" s="8" t="s">
        <v>178</v>
      </c>
      <c r="D72" s="8" t="s">
        <v>630</v>
      </c>
    </row>
    <row r="73" spans="1:4" x14ac:dyDescent="0.3">
      <c r="A73" s="8" t="s">
        <v>400</v>
      </c>
      <c r="B73" s="8" t="s">
        <v>401</v>
      </c>
      <c r="C73" s="8" t="s">
        <v>402</v>
      </c>
      <c r="D73" s="8" t="s">
        <v>643</v>
      </c>
    </row>
    <row r="74" spans="1:4" x14ac:dyDescent="0.3">
      <c r="A74" s="8" t="s">
        <v>405</v>
      </c>
      <c r="B74" s="8" t="s">
        <v>406</v>
      </c>
      <c r="C74" s="8" t="s">
        <v>305</v>
      </c>
      <c r="D74" s="8" t="s">
        <v>518</v>
      </c>
    </row>
    <row r="75" spans="1:4" x14ac:dyDescent="0.3">
      <c r="A75" s="8" t="s">
        <v>409</v>
      </c>
      <c r="B75" s="8" t="s">
        <v>410</v>
      </c>
      <c r="C75" s="8" t="s">
        <v>90</v>
      </c>
      <c r="D75" s="8" t="s">
        <v>529</v>
      </c>
    </row>
    <row r="76" spans="1:4" x14ac:dyDescent="0.3">
      <c r="A76" s="8" t="s">
        <v>413</v>
      </c>
      <c r="B76" s="8" t="s">
        <v>414</v>
      </c>
      <c r="C76" s="8" t="s">
        <v>182</v>
      </c>
      <c r="D76" s="8" t="s">
        <v>630</v>
      </c>
    </row>
    <row r="77" spans="1:4" x14ac:dyDescent="0.3">
      <c r="A77" s="8" t="s">
        <v>417</v>
      </c>
      <c r="B77" s="8" t="s">
        <v>418</v>
      </c>
      <c r="C77" s="8" t="s">
        <v>76</v>
      </c>
      <c r="D77" s="8" t="s">
        <v>630</v>
      </c>
    </row>
    <row r="78" spans="1:4" x14ac:dyDescent="0.3">
      <c r="A78" s="8" t="s">
        <v>423</v>
      </c>
      <c r="B78" s="8" t="s">
        <v>424</v>
      </c>
      <c r="C78" s="8" t="s">
        <v>76</v>
      </c>
      <c r="D78" s="8" t="s">
        <v>630</v>
      </c>
    </row>
    <row r="79" spans="1:4" x14ac:dyDescent="0.3">
      <c r="A79" s="8" t="s">
        <v>427</v>
      </c>
      <c r="B79" s="8" t="s">
        <v>428</v>
      </c>
      <c r="C79" s="8" t="s">
        <v>218</v>
      </c>
      <c r="D79" s="8" t="s">
        <v>630</v>
      </c>
    </row>
    <row r="80" spans="1:4" x14ac:dyDescent="0.3">
      <c r="A80" s="8" t="s">
        <v>432</v>
      </c>
      <c r="B80" s="8" t="s">
        <v>433</v>
      </c>
      <c r="C80" s="8" t="s">
        <v>111</v>
      </c>
      <c r="D80" s="8" t="s">
        <v>630</v>
      </c>
    </row>
    <row r="81" spans="1:4" x14ac:dyDescent="0.3">
      <c r="A81" s="8" t="s">
        <v>437</v>
      </c>
      <c r="B81" s="8" t="s">
        <v>438</v>
      </c>
      <c r="C81" s="8" t="s">
        <v>334</v>
      </c>
      <c r="D81" s="8" t="s">
        <v>630</v>
      </c>
    </row>
    <row r="82" spans="1:4" x14ac:dyDescent="0.3">
      <c r="A82" s="8" t="s">
        <v>441</v>
      </c>
      <c r="B82" s="8" t="s">
        <v>442</v>
      </c>
      <c r="C82" s="8" t="s">
        <v>182</v>
      </c>
      <c r="D82" s="8" t="s">
        <v>630</v>
      </c>
    </row>
    <row r="83" spans="1:4" x14ac:dyDescent="0.3">
      <c r="A83" s="8" t="s">
        <v>445</v>
      </c>
      <c r="B83" s="8" t="s">
        <v>446</v>
      </c>
      <c r="C83" s="8" t="s">
        <v>111</v>
      </c>
      <c r="D83" s="8" t="s">
        <v>630</v>
      </c>
    </row>
    <row r="84" spans="1:4" x14ac:dyDescent="0.3">
      <c r="A84" s="8" t="s">
        <v>449</v>
      </c>
      <c r="B84" s="8" t="s">
        <v>450</v>
      </c>
      <c r="C84" s="8" t="s">
        <v>111</v>
      </c>
      <c r="D84" s="8" t="s">
        <v>630</v>
      </c>
    </row>
    <row r="85" spans="1:4" x14ac:dyDescent="0.3">
      <c r="A85" s="8" t="s">
        <v>454</v>
      </c>
      <c r="B85" s="8" t="s">
        <v>455</v>
      </c>
      <c r="C85" s="8" t="s">
        <v>456</v>
      </c>
      <c r="D85" s="8" t="s">
        <v>630</v>
      </c>
    </row>
    <row r="86" spans="1:4" x14ac:dyDescent="0.3">
      <c r="A86" s="8" t="s">
        <v>459</v>
      </c>
      <c r="B86" s="8" t="s">
        <v>460</v>
      </c>
      <c r="C86" s="8" t="s">
        <v>400</v>
      </c>
      <c r="D86" s="8" t="s">
        <v>630</v>
      </c>
    </row>
    <row r="87" spans="1:4" x14ac:dyDescent="0.3">
      <c r="A87" s="8" t="s">
        <v>463</v>
      </c>
      <c r="B87" s="8" t="s">
        <v>464</v>
      </c>
      <c r="C87" s="8" t="s">
        <v>351</v>
      </c>
      <c r="D87" s="8" t="s">
        <v>630</v>
      </c>
    </row>
    <row r="88" spans="1:4" x14ac:dyDescent="0.3">
      <c r="A88" s="8" t="s">
        <v>467</v>
      </c>
      <c r="B88" s="8" t="s">
        <v>468</v>
      </c>
      <c r="C88" s="8" t="s">
        <v>400</v>
      </c>
      <c r="D88" s="8" t="s">
        <v>630</v>
      </c>
    </row>
    <row r="89" spans="1:4" x14ac:dyDescent="0.3">
      <c r="A89" s="8" t="s">
        <v>471</v>
      </c>
      <c r="B89" s="8" t="s">
        <v>472</v>
      </c>
      <c r="C89" s="8" t="s">
        <v>473</v>
      </c>
      <c r="D89" s="8" t="s">
        <v>599</v>
      </c>
    </row>
    <row r="90" spans="1:4" x14ac:dyDescent="0.3">
      <c r="A90" s="8" t="s">
        <v>476</v>
      </c>
      <c r="B90" s="8" t="s">
        <v>477</v>
      </c>
      <c r="C90" s="8" t="s">
        <v>76</v>
      </c>
      <c r="D90" s="8" t="s">
        <v>630</v>
      </c>
    </row>
    <row r="91" spans="1:4" x14ac:dyDescent="0.3">
      <c r="A91" s="8" t="s">
        <v>480</v>
      </c>
      <c r="B91" s="8" t="s">
        <v>481</v>
      </c>
      <c r="C91" s="8" t="s">
        <v>233</v>
      </c>
      <c r="D91" s="8" t="s">
        <v>630</v>
      </c>
    </row>
    <row r="92" spans="1:4" x14ac:dyDescent="0.3">
      <c r="A92" s="8" t="s">
        <v>484</v>
      </c>
      <c r="B92" s="8" t="s">
        <v>485</v>
      </c>
      <c r="C92" s="8" t="s">
        <v>134</v>
      </c>
      <c r="D92" s="8" t="s">
        <v>560</v>
      </c>
    </row>
    <row r="93" spans="1:4" x14ac:dyDescent="0.3">
      <c r="A93" s="8" t="s">
        <v>490</v>
      </c>
      <c r="B93" s="8" t="s">
        <v>491</v>
      </c>
      <c r="C93" s="8" t="s">
        <v>194</v>
      </c>
      <c r="D93" s="8" t="s">
        <v>630</v>
      </c>
    </row>
    <row r="94" spans="1:4" x14ac:dyDescent="0.3">
      <c r="A94" s="8" t="s">
        <v>494</v>
      </c>
      <c r="B94" s="8" t="s">
        <v>495</v>
      </c>
      <c r="C94" s="8" t="s">
        <v>76</v>
      </c>
      <c r="D94" s="8" t="s">
        <v>630</v>
      </c>
    </row>
    <row r="95" spans="1:4" x14ac:dyDescent="0.3">
      <c r="A95" s="8" t="s">
        <v>498</v>
      </c>
      <c r="B95" s="8" t="s">
        <v>499</v>
      </c>
      <c r="C95" s="8" t="s">
        <v>76</v>
      </c>
      <c r="D95" s="8" t="s">
        <v>630</v>
      </c>
    </row>
    <row r="96" spans="1:4" x14ac:dyDescent="0.3">
      <c r="A96" s="8" t="s">
        <v>503</v>
      </c>
      <c r="B96" s="8" t="s">
        <v>504</v>
      </c>
      <c r="C96" s="8" t="s">
        <v>76</v>
      </c>
      <c r="D96" s="8" t="s">
        <v>630</v>
      </c>
    </row>
    <row r="97" spans="1:4" x14ac:dyDescent="0.3">
      <c r="A97" s="8" t="s">
        <v>507</v>
      </c>
      <c r="B97" s="8" t="s">
        <v>508</v>
      </c>
      <c r="C97" s="8" t="s">
        <v>510</v>
      </c>
      <c r="D97" s="8" t="s">
        <v>630</v>
      </c>
    </row>
    <row r="98" spans="1:4" x14ac:dyDescent="0.3">
      <c r="A98" s="8" t="s">
        <v>513</v>
      </c>
      <c r="B98" s="8" t="s">
        <v>514</v>
      </c>
      <c r="C98" s="8" t="s">
        <v>515</v>
      </c>
      <c r="D98" s="8" t="s">
        <v>550</v>
      </c>
    </row>
    <row r="99" spans="1:4" x14ac:dyDescent="0.3">
      <c r="A99" s="8" t="s">
        <v>518</v>
      </c>
      <c r="B99" s="8" t="s">
        <v>519</v>
      </c>
      <c r="C99" s="8" t="s">
        <v>405</v>
      </c>
      <c r="D99" s="8" t="s">
        <v>630</v>
      </c>
    </row>
    <row r="100" spans="1:4" x14ac:dyDescent="0.3">
      <c r="A100" s="8" t="s">
        <v>521</v>
      </c>
      <c r="B100" s="8" t="s">
        <v>522</v>
      </c>
      <c r="C100" s="8" t="s">
        <v>76</v>
      </c>
      <c r="D100" s="8" t="s">
        <v>630</v>
      </c>
    </row>
    <row r="101" spans="1:4" x14ac:dyDescent="0.3">
      <c r="A101" s="8" t="s">
        <v>525</v>
      </c>
      <c r="B101" s="8" t="s">
        <v>526</v>
      </c>
      <c r="C101" s="8" t="s">
        <v>202</v>
      </c>
      <c r="D101" s="8" t="s">
        <v>630</v>
      </c>
    </row>
    <row r="102" spans="1:4" x14ac:dyDescent="0.3">
      <c r="A102" s="8" t="s">
        <v>529</v>
      </c>
      <c r="B102" s="8" t="s">
        <v>530</v>
      </c>
      <c r="C102" s="8" t="s">
        <v>409</v>
      </c>
      <c r="D102" s="8" t="s">
        <v>630</v>
      </c>
    </row>
    <row r="103" spans="1:4" x14ac:dyDescent="0.3">
      <c r="A103" s="8" t="s">
        <v>533</v>
      </c>
      <c r="B103" s="8" t="s">
        <v>534</v>
      </c>
      <c r="C103" s="8" t="s">
        <v>535</v>
      </c>
      <c r="D103" s="8" t="s">
        <v>630</v>
      </c>
    </row>
    <row r="104" spans="1:4" x14ac:dyDescent="0.3">
      <c r="A104" s="8" t="s">
        <v>538</v>
      </c>
      <c r="B104" s="8" t="s">
        <v>539</v>
      </c>
      <c r="C104" s="8" t="s">
        <v>76</v>
      </c>
      <c r="D104" s="8" t="s">
        <v>555</v>
      </c>
    </row>
    <row r="105" spans="1:4" x14ac:dyDescent="0.3">
      <c r="A105" s="8" t="s">
        <v>545</v>
      </c>
      <c r="B105" s="8" t="s">
        <v>546</v>
      </c>
      <c r="C105" s="8" t="s">
        <v>143</v>
      </c>
      <c r="D105" s="8" t="s">
        <v>630</v>
      </c>
    </row>
    <row r="106" spans="1:4" x14ac:dyDescent="0.3">
      <c r="A106" s="8" t="s">
        <v>550</v>
      </c>
      <c r="B106" s="8" t="s">
        <v>551</v>
      </c>
      <c r="C106" s="8" t="s">
        <v>513</v>
      </c>
      <c r="D106" s="8" t="s">
        <v>630</v>
      </c>
    </row>
    <row r="107" spans="1:4" x14ac:dyDescent="0.3">
      <c r="A107" s="8" t="s">
        <v>555</v>
      </c>
      <c r="B107" s="8" t="s">
        <v>556</v>
      </c>
      <c r="C107" s="8" t="s">
        <v>538</v>
      </c>
      <c r="D107" s="8" t="s">
        <v>630</v>
      </c>
    </row>
    <row r="108" spans="1:4" x14ac:dyDescent="0.3">
      <c r="A108" s="8" t="s">
        <v>560</v>
      </c>
      <c r="B108" s="8" t="s">
        <v>561</v>
      </c>
      <c r="C108" s="8" t="s">
        <v>484</v>
      </c>
      <c r="D108" s="8" t="s">
        <v>644</v>
      </c>
    </row>
    <row r="109" spans="1:4" x14ac:dyDescent="0.3">
      <c r="A109" s="8" t="s">
        <v>564</v>
      </c>
      <c r="B109" s="8" t="s">
        <v>565</v>
      </c>
      <c r="C109" s="8" t="s">
        <v>143</v>
      </c>
      <c r="D109" s="8" t="s">
        <v>630</v>
      </c>
    </row>
    <row r="110" spans="1:4" x14ac:dyDescent="0.3">
      <c r="A110" s="8" t="s">
        <v>567</v>
      </c>
      <c r="B110" s="8" t="s">
        <v>568</v>
      </c>
      <c r="C110" s="8" t="s">
        <v>76</v>
      </c>
      <c r="D110" s="8" t="s">
        <v>630</v>
      </c>
    </row>
    <row r="111" spans="1:4" x14ac:dyDescent="0.3">
      <c r="A111" s="8" t="s">
        <v>571</v>
      </c>
      <c r="B111" s="8" t="s">
        <v>572</v>
      </c>
      <c r="C111" s="8" t="s">
        <v>76</v>
      </c>
      <c r="D111" s="8" t="s">
        <v>630</v>
      </c>
    </row>
    <row r="112" spans="1:4" x14ac:dyDescent="0.3">
      <c r="A112" s="8" t="s">
        <v>575</v>
      </c>
      <c r="B112" s="8" t="s">
        <v>576</v>
      </c>
      <c r="C112" s="8" t="s">
        <v>560</v>
      </c>
      <c r="D112" s="8" t="s">
        <v>630</v>
      </c>
    </row>
    <row r="113" spans="1:4" x14ac:dyDescent="0.3">
      <c r="A113" s="8" t="s">
        <v>584</v>
      </c>
      <c r="B113" s="8" t="s">
        <v>585</v>
      </c>
      <c r="C113" s="8" t="s">
        <v>560</v>
      </c>
      <c r="D113" s="8" t="s">
        <v>630</v>
      </c>
    </row>
    <row r="114" spans="1:4" x14ac:dyDescent="0.3">
      <c r="A114" s="8" t="s">
        <v>588</v>
      </c>
      <c r="B114" s="8" t="s">
        <v>589</v>
      </c>
      <c r="C114" s="8" t="s">
        <v>560</v>
      </c>
      <c r="D114" s="8" t="s">
        <v>630</v>
      </c>
    </row>
    <row r="115" spans="1:4" x14ac:dyDescent="0.3">
      <c r="A115" s="8" t="s">
        <v>594</v>
      </c>
      <c r="B115" s="8" t="s">
        <v>595</v>
      </c>
      <c r="C115" s="8" t="s">
        <v>560</v>
      </c>
      <c r="D115" s="8" t="s">
        <v>630</v>
      </c>
    </row>
    <row r="116" spans="1:4" x14ac:dyDescent="0.3">
      <c r="A116" s="8" t="s">
        <v>599</v>
      </c>
      <c r="B116" s="8" t="s">
        <v>600</v>
      </c>
      <c r="C116" s="8" t="s">
        <v>471</v>
      </c>
      <c r="D116" s="8" t="s">
        <v>630</v>
      </c>
    </row>
    <row r="117" spans="1:4" x14ac:dyDescent="0.3">
      <c r="A117" s="8" t="s">
        <v>603</v>
      </c>
      <c r="B117" s="8" t="s">
        <v>604</v>
      </c>
      <c r="C117" s="8" t="s">
        <v>605</v>
      </c>
      <c r="D117" s="8" t="s">
        <v>645</v>
      </c>
    </row>
    <row r="118" spans="1:4" x14ac:dyDescent="0.3">
      <c r="A118" s="8" t="s">
        <v>608</v>
      </c>
      <c r="B118" s="8" t="s">
        <v>609</v>
      </c>
      <c r="C118" s="8" t="s">
        <v>603</v>
      </c>
      <c r="D118" s="8" t="s">
        <v>630</v>
      </c>
    </row>
    <row r="119" spans="1:4" x14ac:dyDescent="0.3">
      <c r="A119" s="8" t="s">
        <v>611</v>
      </c>
      <c r="B119" s="8" t="s">
        <v>612</v>
      </c>
      <c r="C119" s="8" t="s">
        <v>603</v>
      </c>
      <c r="D119" s="8" t="s">
        <v>630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6"/>
  <sheetViews>
    <sheetView workbookViewId="0"/>
  </sheetViews>
  <sheetFormatPr baseColWidth="10" defaultColWidth="8.88671875" defaultRowHeight="14.4" x14ac:dyDescent="0.3"/>
  <cols>
    <col min="1" max="1" width="20" customWidth="1"/>
    <col min="2" max="2" width="12" customWidth="1"/>
    <col min="3" max="3" width="15" customWidth="1"/>
    <col min="4" max="5" width="12" customWidth="1"/>
  </cols>
  <sheetData>
    <row r="1" spans="1:5" ht="18" x14ac:dyDescent="0.35">
      <c r="A1" s="2" t="s">
        <v>646</v>
      </c>
    </row>
    <row r="3" spans="1:5" x14ac:dyDescent="0.3">
      <c r="A3" s="7" t="s">
        <v>61</v>
      </c>
      <c r="B3" s="7" t="s">
        <v>13</v>
      </c>
      <c r="C3" s="7" t="s">
        <v>14</v>
      </c>
      <c r="D3" s="7" t="s">
        <v>647</v>
      </c>
      <c r="E3" s="7" t="s">
        <v>648</v>
      </c>
    </row>
    <row r="4" spans="1:5" x14ac:dyDescent="0.3">
      <c r="A4" s="8" t="s">
        <v>99</v>
      </c>
      <c r="B4" s="8">
        <v>23</v>
      </c>
      <c r="C4" s="8">
        <v>71</v>
      </c>
      <c r="D4" s="8">
        <v>17</v>
      </c>
      <c r="E4" s="8" t="s">
        <v>649</v>
      </c>
    </row>
    <row r="5" spans="1:5" x14ac:dyDescent="0.3">
      <c r="A5" s="8" t="s">
        <v>75</v>
      </c>
      <c r="B5" s="8">
        <v>22</v>
      </c>
      <c r="C5" s="8">
        <v>56</v>
      </c>
      <c r="D5" s="8">
        <v>16</v>
      </c>
      <c r="E5" s="8" t="s">
        <v>650</v>
      </c>
    </row>
    <row r="6" spans="1:5" x14ac:dyDescent="0.3">
      <c r="A6" s="8" t="s">
        <v>126</v>
      </c>
      <c r="B6" s="8">
        <v>12</v>
      </c>
      <c r="C6" s="8">
        <v>29</v>
      </c>
      <c r="D6" s="8">
        <v>10</v>
      </c>
      <c r="E6" s="8" t="s">
        <v>651</v>
      </c>
    </row>
    <row r="7" spans="1:5" x14ac:dyDescent="0.3">
      <c r="A7" s="8" t="s">
        <v>145</v>
      </c>
      <c r="B7" s="8">
        <v>13</v>
      </c>
      <c r="C7" s="8">
        <v>28</v>
      </c>
      <c r="D7" s="8">
        <v>10</v>
      </c>
      <c r="E7" s="8" t="s">
        <v>652</v>
      </c>
    </row>
    <row r="8" spans="1:5" x14ac:dyDescent="0.3">
      <c r="A8" s="8" t="s">
        <v>188</v>
      </c>
      <c r="B8" s="8">
        <v>11</v>
      </c>
      <c r="C8" s="8">
        <v>18</v>
      </c>
      <c r="D8" s="8">
        <v>11</v>
      </c>
      <c r="E8" s="8" t="s">
        <v>653</v>
      </c>
    </row>
    <row r="9" spans="1:5" x14ac:dyDescent="0.3">
      <c r="A9" s="8" t="s">
        <v>93</v>
      </c>
      <c r="B9" s="8">
        <v>10</v>
      </c>
      <c r="C9" s="8">
        <v>15</v>
      </c>
      <c r="D9" s="8">
        <v>8</v>
      </c>
      <c r="E9" s="8" t="s">
        <v>654</v>
      </c>
    </row>
    <row r="10" spans="1:5" x14ac:dyDescent="0.3">
      <c r="A10" s="8" t="s">
        <v>173</v>
      </c>
      <c r="B10" s="8">
        <v>6</v>
      </c>
      <c r="C10" s="8">
        <v>13</v>
      </c>
      <c r="D10" s="8">
        <v>6</v>
      </c>
      <c r="E10" s="8" t="s">
        <v>655</v>
      </c>
    </row>
    <row r="11" spans="1:5" x14ac:dyDescent="0.3">
      <c r="A11" s="8" t="s">
        <v>580</v>
      </c>
      <c r="B11" s="8">
        <v>5</v>
      </c>
      <c r="C11" s="8">
        <v>12</v>
      </c>
      <c r="D11" s="8">
        <v>4</v>
      </c>
      <c r="E11" s="8" t="s">
        <v>656</v>
      </c>
    </row>
    <row r="12" spans="1:5" x14ac:dyDescent="0.3">
      <c r="A12" s="8" t="s">
        <v>250</v>
      </c>
      <c r="B12" s="8">
        <v>5</v>
      </c>
      <c r="C12" s="8">
        <v>9</v>
      </c>
      <c r="D12" s="8">
        <v>1</v>
      </c>
      <c r="E12" s="8" t="s">
        <v>657</v>
      </c>
    </row>
    <row r="13" spans="1:5" x14ac:dyDescent="0.3">
      <c r="A13" s="8" t="s">
        <v>140</v>
      </c>
      <c r="B13" s="8">
        <v>3</v>
      </c>
      <c r="C13" s="8">
        <v>5</v>
      </c>
      <c r="D13" s="8">
        <v>0</v>
      </c>
      <c r="E13" s="8" t="s">
        <v>658</v>
      </c>
    </row>
    <row r="14" spans="1:5" x14ac:dyDescent="0.3">
      <c r="A14" s="8" t="s">
        <v>92</v>
      </c>
      <c r="B14" s="8">
        <v>2</v>
      </c>
      <c r="C14" s="8">
        <v>5</v>
      </c>
      <c r="D14" s="8">
        <v>2</v>
      </c>
      <c r="E14" s="8" t="s">
        <v>658</v>
      </c>
    </row>
    <row r="15" spans="1:5" x14ac:dyDescent="0.3">
      <c r="A15" s="8" t="s">
        <v>276</v>
      </c>
      <c r="B15" s="8">
        <v>3</v>
      </c>
      <c r="C15" s="8">
        <v>4</v>
      </c>
      <c r="D15" s="8">
        <v>0</v>
      </c>
      <c r="E15" s="8" t="s">
        <v>659</v>
      </c>
    </row>
    <row r="16" spans="1:5" x14ac:dyDescent="0.3">
      <c r="A16" s="8" t="s">
        <v>120</v>
      </c>
      <c r="B16" s="8">
        <v>1</v>
      </c>
      <c r="C16" s="8">
        <v>2</v>
      </c>
      <c r="D16" s="8">
        <v>1</v>
      </c>
      <c r="E16" s="8" t="s">
        <v>660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3"/>
  <sheetViews>
    <sheetView topLeftCell="A15" workbookViewId="0">
      <selection activeCell="C27" sqref="C27"/>
    </sheetView>
  </sheetViews>
  <sheetFormatPr baseColWidth="10" defaultColWidth="8.88671875" defaultRowHeight="14.4" x14ac:dyDescent="0.3"/>
  <cols>
    <col min="1" max="1" width="15" customWidth="1"/>
    <col min="2" max="2" width="50" customWidth="1"/>
    <col min="3" max="3" width="12" customWidth="1"/>
    <col min="4" max="4" width="10" customWidth="1"/>
    <col min="5" max="5" width="15" customWidth="1"/>
    <col min="6" max="6" width="12" customWidth="1"/>
  </cols>
  <sheetData>
    <row r="1" spans="1:6" ht="18" x14ac:dyDescent="0.35">
      <c r="A1" s="2" t="s">
        <v>661</v>
      </c>
    </row>
    <row r="3" spans="1:6" x14ac:dyDescent="0.3">
      <c r="A3" s="3" t="s">
        <v>662</v>
      </c>
    </row>
    <row r="5" spans="1:6" x14ac:dyDescent="0.3">
      <c r="A5" s="7" t="s">
        <v>54</v>
      </c>
      <c r="B5" s="7" t="s">
        <v>55</v>
      </c>
      <c r="C5" s="7" t="s">
        <v>12</v>
      </c>
      <c r="D5" s="7" t="s">
        <v>66</v>
      </c>
      <c r="E5" s="7" t="s">
        <v>61</v>
      </c>
      <c r="F5" s="7" t="s">
        <v>62</v>
      </c>
    </row>
    <row r="6" spans="1:6" x14ac:dyDescent="0.3">
      <c r="A6" s="8" t="s">
        <v>170</v>
      </c>
      <c r="B6" s="8" t="s">
        <v>171</v>
      </c>
      <c r="C6" s="8" t="s">
        <v>19</v>
      </c>
      <c r="D6" s="21" t="s">
        <v>176</v>
      </c>
      <c r="E6" s="8" t="s">
        <v>173</v>
      </c>
      <c r="F6" s="8" t="s">
        <v>51</v>
      </c>
    </row>
    <row r="7" spans="1:6" x14ac:dyDescent="0.3">
      <c r="A7" s="8" t="s">
        <v>178</v>
      </c>
      <c r="B7" s="8" t="s">
        <v>179</v>
      </c>
      <c r="C7" s="8" t="s">
        <v>19</v>
      </c>
      <c r="D7" s="21" t="s">
        <v>176</v>
      </c>
      <c r="E7" s="8" t="s">
        <v>99</v>
      </c>
      <c r="F7" s="8" t="s">
        <v>38</v>
      </c>
    </row>
    <row r="8" spans="1:6" x14ac:dyDescent="0.3">
      <c r="A8" s="8" t="s">
        <v>211</v>
      </c>
      <c r="B8" s="8" t="s">
        <v>212</v>
      </c>
      <c r="C8" s="8" t="s">
        <v>19</v>
      </c>
      <c r="D8" s="21" t="s">
        <v>176</v>
      </c>
      <c r="E8" s="8" t="s">
        <v>99</v>
      </c>
      <c r="F8" s="8" t="s">
        <v>41</v>
      </c>
    </row>
    <row r="9" spans="1:6" x14ac:dyDescent="0.3">
      <c r="A9" s="8" t="s">
        <v>218</v>
      </c>
      <c r="B9" s="8" t="s">
        <v>219</v>
      </c>
      <c r="C9" s="8" t="s">
        <v>19</v>
      </c>
      <c r="D9" s="21" t="s">
        <v>176</v>
      </c>
      <c r="E9" s="8" t="s">
        <v>99</v>
      </c>
      <c r="F9" s="8" t="s">
        <v>48</v>
      </c>
    </row>
    <row r="10" spans="1:6" x14ac:dyDescent="0.3">
      <c r="A10" s="8" t="s">
        <v>222</v>
      </c>
      <c r="B10" s="8" t="s">
        <v>223</v>
      </c>
      <c r="C10" s="8" t="s">
        <v>19</v>
      </c>
      <c r="D10" s="21" t="s">
        <v>176</v>
      </c>
      <c r="E10" s="8" t="s">
        <v>99</v>
      </c>
      <c r="F10" s="8" t="s">
        <v>41</v>
      </c>
    </row>
    <row r="11" spans="1:6" x14ac:dyDescent="0.3">
      <c r="A11" s="8" t="s">
        <v>227</v>
      </c>
      <c r="B11" s="8" t="s">
        <v>228</v>
      </c>
      <c r="C11" s="8" t="s">
        <v>19</v>
      </c>
      <c r="D11" s="21" t="s">
        <v>176</v>
      </c>
      <c r="E11" s="8" t="s">
        <v>99</v>
      </c>
      <c r="F11" s="8" t="s">
        <v>41</v>
      </c>
    </row>
    <row r="12" spans="1:6" x14ac:dyDescent="0.3">
      <c r="A12" s="8" t="s">
        <v>233</v>
      </c>
      <c r="B12" s="8" t="s">
        <v>234</v>
      </c>
      <c r="C12" s="8" t="s">
        <v>19</v>
      </c>
      <c r="D12" s="21" t="s">
        <v>176</v>
      </c>
      <c r="E12" s="8" t="s">
        <v>99</v>
      </c>
      <c r="F12" s="8" t="s">
        <v>41</v>
      </c>
    </row>
    <row r="13" spans="1:6" x14ac:dyDescent="0.3">
      <c r="A13" s="8" t="s">
        <v>243</v>
      </c>
      <c r="B13" s="8" t="s">
        <v>244</v>
      </c>
      <c r="C13" s="8" t="s">
        <v>19</v>
      </c>
      <c r="D13" s="21" t="s">
        <v>176</v>
      </c>
      <c r="E13" s="8" t="s">
        <v>99</v>
      </c>
      <c r="F13" s="8" t="s">
        <v>41</v>
      </c>
    </row>
    <row r="14" spans="1:6" x14ac:dyDescent="0.3">
      <c r="A14" s="8" t="s">
        <v>283</v>
      </c>
      <c r="B14" s="8" t="s">
        <v>284</v>
      </c>
      <c r="C14" s="8" t="s">
        <v>20</v>
      </c>
      <c r="D14" s="21" t="s">
        <v>176</v>
      </c>
      <c r="E14" s="8" t="s">
        <v>99</v>
      </c>
      <c r="F14" s="8" t="s">
        <v>41</v>
      </c>
    </row>
    <row r="15" spans="1:6" x14ac:dyDescent="0.3">
      <c r="A15" s="8" t="s">
        <v>295</v>
      </c>
      <c r="B15" s="8" t="s">
        <v>296</v>
      </c>
      <c r="C15" s="8" t="s">
        <v>20</v>
      </c>
      <c r="D15" s="21" t="s">
        <v>176</v>
      </c>
      <c r="E15" s="8" t="s">
        <v>99</v>
      </c>
      <c r="F15" s="8" t="s">
        <v>45</v>
      </c>
    </row>
    <row r="16" spans="1:6" x14ac:dyDescent="0.3">
      <c r="A16" s="8" t="s">
        <v>301</v>
      </c>
      <c r="B16" s="8" t="s">
        <v>302</v>
      </c>
      <c r="C16" s="8" t="s">
        <v>20</v>
      </c>
      <c r="D16" s="21" t="s">
        <v>176</v>
      </c>
      <c r="E16" s="8" t="s">
        <v>75</v>
      </c>
      <c r="F16" s="8" t="s">
        <v>45</v>
      </c>
    </row>
    <row r="17" spans="1:6" x14ac:dyDescent="0.3">
      <c r="A17" s="8" t="s">
        <v>310</v>
      </c>
      <c r="B17" s="8" t="s">
        <v>311</v>
      </c>
      <c r="C17" s="8" t="s">
        <v>20</v>
      </c>
      <c r="D17" s="21" t="s">
        <v>176</v>
      </c>
      <c r="E17" s="8" t="s">
        <v>99</v>
      </c>
      <c r="F17" s="8" t="s">
        <v>41</v>
      </c>
    </row>
    <row r="18" spans="1:6" x14ac:dyDescent="0.3">
      <c r="A18" s="8" t="s">
        <v>322</v>
      </c>
      <c r="B18" s="8" t="s">
        <v>323</v>
      </c>
      <c r="C18" s="8" t="s">
        <v>20</v>
      </c>
      <c r="D18" s="21" t="s">
        <v>176</v>
      </c>
      <c r="E18" s="8" t="s">
        <v>99</v>
      </c>
      <c r="F18" s="8" t="s">
        <v>41</v>
      </c>
    </row>
    <row r="19" spans="1:6" x14ac:dyDescent="0.3">
      <c r="A19" s="8" t="s">
        <v>362</v>
      </c>
      <c r="B19" s="8" t="s">
        <v>363</v>
      </c>
      <c r="C19" s="8" t="s">
        <v>20</v>
      </c>
      <c r="D19" s="21" t="s">
        <v>176</v>
      </c>
      <c r="E19" s="8" t="s">
        <v>126</v>
      </c>
      <c r="F19" s="8" t="s">
        <v>38</v>
      </c>
    </row>
    <row r="20" spans="1:6" x14ac:dyDescent="0.3">
      <c r="A20" s="8" t="s">
        <v>417</v>
      </c>
      <c r="B20" s="8" t="s">
        <v>418</v>
      </c>
      <c r="C20" s="8" t="s">
        <v>21</v>
      </c>
      <c r="D20" s="21" t="s">
        <v>176</v>
      </c>
      <c r="E20" s="8" t="s">
        <v>173</v>
      </c>
      <c r="F20" s="8" t="s">
        <v>51</v>
      </c>
    </row>
    <row r="21" spans="1:6" x14ac:dyDescent="0.3">
      <c r="A21" s="8" t="s">
        <v>427</v>
      </c>
      <c r="B21" s="8" t="s">
        <v>428</v>
      </c>
      <c r="C21" s="8" t="s">
        <v>21</v>
      </c>
      <c r="D21" s="21" t="s">
        <v>176</v>
      </c>
      <c r="E21" s="8" t="s">
        <v>75</v>
      </c>
      <c r="F21" s="8" t="s">
        <v>48</v>
      </c>
    </row>
    <row r="22" spans="1:6" x14ac:dyDescent="0.3">
      <c r="A22" s="8" t="s">
        <v>507</v>
      </c>
      <c r="B22" s="8" t="s">
        <v>508</v>
      </c>
      <c r="C22" s="8" t="s">
        <v>21</v>
      </c>
      <c r="D22" s="21" t="s">
        <v>176</v>
      </c>
      <c r="E22" s="8" t="s">
        <v>145</v>
      </c>
      <c r="F22" s="8"/>
    </row>
    <row r="23" spans="1:6" x14ac:dyDescent="0.3">
      <c r="A23" s="8" t="s">
        <v>513</v>
      </c>
      <c r="B23" s="8" t="s">
        <v>514</v>
      </c>
      <c r="C23" s="8" t="s">
        <v>21</v>
      </c>
      <c r="D23" s="21" t="s">
        <v>176</v>
      </c>
      <c r="E23" s="8" t="s">
        <v>145</v>
      </c>
      <c r="F23" s="8"/>
    </row>
    <row r="24" spans="1:6" x14ac:dyDescent="0.3">
      <c r="A24" s="8" t="s">
        <v>529</v>
      </c>
      <c r="B24" s="8" t="s">
        <v>530</v>
      </c>
      <c r="C24" s="8" t="s">
        <v>21</v>
      </c>
      <c r="D24" s="21" t="s">
        <v>176</v>
      </c>
      <c r="E24" s="8" t="s">
        <v>145</v>
      </c>
      <c r="F24" s="8"/>
    </row>
    <row r="25" spans="1:6" x14ac:dyDescent="0.3">
      <c r="A25" s="8" t="s">
        <v>538</v>
      </c>
      <c r="B25" s="8" t="s">
        <v>539</v>
      </c>
      <c r="C25" s="8" t="s">
        <v>22</v>
      </c>
      <c r="D25" s="21" t="s">
        <v>176</v>
      </c>
      <c r="E25" s="8" t="s">
        <v>173</v>
      </c>
      <c r="F25" s="8" t="s">
        <v>542</v>
      </c>
    </row>
    <row r="26" spans="1:6" x14ac:dyDescent="0.3">
      <c r="A26" s="8" t="s">
        <v>550</v>
      </c>
      <c r="B26" s="8" t="s">
        <v>551</v>
      </c>
      <c r="C26" s="8" t="s">
        <v>22</v>
      </c>
      <c r="D26" s="21" t="s">
        <v>176</v>
      </c>
      <c r="E26" s="8" t="s">
        <v>145</v>
      </c>
      <c r="F26" s="8"/>
    </row>
    <row r="27" spans="1:6" x14ac:dyDescent="0.3">
      <c r="A27" s="8" t="s">
        <v>555</v>
      </c>
      <c r="B27" s="8" t="s">
        <v>556</v>
      </c>
      <c r="C27" s="8" t="s">
        <v>22</v>
      </c>
      <c r="D27" s="20" t="s">
        <v>558</v>
      </c>
      <c r="E27" s="8" t="s">
        <v>173</v>
      </c>
      <c r="F27" s="8" t="s">
        <v>28</v>
      </c>
    </row>
    <row r="28" spans="1:6" x14ac:dyDescent="0.3">
      <c r="A28" s="8" t="s">
        <v>560</v>
      </c>
      <c r="B28" s="8" t="s">
        <v>561</v>
      </c>
      <c r="C28" s="8" t="s">
        <v>22</v>
      </c>
      <c r="D28" s="21" t="s">
        <v>176</v>
      </c>
      <c r="E28" s="8" t="s">
        <v>93</v>
      </c>
      <c r="F28" s="8"/>
    </row>
    <row r="29" spans="1:6" x14ac:dyDescent="0.3">
      <c r="A29" s="8" t="s">
        <v>575</v>
      </c>
      <c r="B29" s="8" t="s">
        <v>576</v>
      </c>
      <c r="C29" s="8" t="s">
        <v>22</v>
      </c>
      <c r="D29" s="21" t="s">
        <v>176</v>
      </c>
      <c r="E29" s="8" t="s">
        <v>580</v>
      </c>
      <c r="F29" s="8"/>
    </row>
    <row r="30" spans="1:6" x14ac:dyDescent="0.3">
      <c r="A30" s="8" t="s">
        <v>584</v>
      </c>
      <c r="B30" s="8" t="s">
        <v>585</v>
      </c>
      <c r="C30" s="8" t="s">
        <v>22</v>
      </c>
      <c r="D30" s="21" t="s">
        <v>176</v>
      </c>
      <c r="E30" s="8" t="s">
        <v>580</v>
      </c>
      <c r="F30" s="8"/>
    </row>
    <row r="31" spans="1:6" x14ac:dyDescent="0.3">
      <c r="A31" s="8" t="s">
        <v>588</v>
      </c>
      <c r="B31" s="8" t="s">
        <v>589</v>
      </c>
      <c r="C31" s="8" t="s">
        <v>22</v>
      </c>
      <c r="D31" s="21" t="s">
        <v>176</v>
      </c>
      <c r="E31" s="8" t="s">
        <v>580</v>
      </c>
      <c r="F31" s="8"/>
    </row>
    <row r="32" spans="1:6" x14ac:dyDescent="0.3">
      <c r="A32" s="8" t="s">
        <v>603</v>
      </c>
      <c r="B32" s="8" t="s">
        <v>604</v>
      </c>
      <c r="C32" s="8" t="s">
        <v>22</v>
      </c>
      <c r="D32" s="21" t="s">
        <v>176</v>
      </c>
      <c r="E32" s="8" t="s">
        <v>580</v>
      </c>
      <c r="F32" s="8"/>
    </row>
    <row r="33" spans="1:6" x14ac:dyDescent="0.3">
      <c r="A33" s="8" t="s">
        <v>608</v>
      </c>
      <c r="B33" s="8" t="s">
        <v>609</v>
      </c>
      <c r="C33" s="8" t="s">
        <v>22</v>
      </c>
      <c r="D33" s="21" t="s">
        <v>176</v>
      </c>
      <c r="E33" s="8" t="s">
        <v>75</v>
      </c>
      <c r="F33" s="8"/>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2"/>
  <sheetViews>
    <sheetView workbookViewId="0">
      <selection activeCell="G6" sqref="G6"/>
    </sheetView>
  </sheetViews>
  <sheetFormatPr baseColWidth="10" defaultColWidth="8.88671875" defaultRowHeight="14.4" x14ac:dyDescent="0.3"/>
  <cols>
    <col min="1" max="1" width="12" customWidth="1"/>
    <col min="2" max="3" width="14" customWidth="1"/>
    <col min="4" max="4" width="10" customWidth="1"/>
    <col min="5" max="5" width="14" customWidth="1"/>
    <col min="6" max="6" width="12" customWidth="1"/>
    <col min="7" max="7" width="50" customWidth="1"/>
  </cols>
  <sheetData>
    <row r="1" spans="1:7" ht="18" x14ac:dyDescent="0.35">
      <c r="A1" s="2" t="s">
        <v>663</v>
      </c>
    </row>
    <row r="3" spans="1:7" x14ac:dyDescent="0.3">
      <c r="A3" s="7" t="s">
        <v>56</v>
      </c>
      <c r="B3" s="7" t="s">
        <v>664</v>
      </c>
      <c r="C3" s="7" t="s">
        <v>665</v>
      </c>
      <c r="D3" s="7" t="s">
        <v>13</v>
      </c>
      <c r="E3" s="7" t="s">
        <v>14</v>
      </c>
      <c r="F3" s="7" t="s">
        <v>647</v>
      </c>
      <c r="G3" s="7" t="s">
        <v>666</v>
      </c>
    </row>
    <row r="4" spans="1:7" x14ac:dyDescent="0.3">
      <c r="A4" s="8" t="s">
        <v>577</v>
      </c>
      <c r="B4" s="8" t="s">
        <v>578</v>
      </c>
      <c r="C4" s="8" t="s">
        <v>591</v>
      </c>
      <c r="D4" s="8">
        <v>8</v>
      </c>
      <c r="E4" s="8">
        <v>22</v>
      </c>
      <c r="F4" s="8">
        <v>5</v>
      </c>
      <c r="G4" s="8" t="s">
        <v>667</v>
      </c>
    </row>
    <row r="5" spans="1:7" x14ac:dyDescent="0.3">
      <c r="A5" s="8" t="s">
        <v>71</v>
      </c>
      <c r="B5" s="8" t="s">
        <v>72</v>
      </c>
      <c r="C5" s="8" t="s">
        <v>87</v>
      </c>
      <c r="D5" s="8">
        <v>16</v>
      </c>
      <c r="E5" s="8">
        <v>32</v>
      </c>
      <c r="F5" s="8">
        <v>14</v>
      </c>
      <c r="G5" s="8" t="s">
        <v>668</v>
      </c>
    </row>
    <row r="6" spans="1:7" x14ac:dyDescent="0.3">
      <c r="A6" s="8" t="s">
        <v>155</v>
      </c>
      <c r="B6" s="8" t="s">
        <v>156</v>
      </c>
      <c r="C6" s="8" t="s">
        <v>172</v>
      </c>
      <c r="D6" s="8">
        <v>12</v>
      </c>
      <c r="E6" s="8">
        <v>31</v>
      </c>
      <c r="F6" s="8">
        <v>12</v>
      </c>
      <c r="G6" s="8" t="s">
        <v>669</v>
      </c>
    </row>
    <row r="7" spans="1:7" x14ac:dyDescent="0.3">
      <c r="A7" s="8" t="s">
        <v>213</v>
      </c>
      <c r="B7" s="8" t="s">
        <v>214</v>
      </c>
      <c r="C7" s="8" t="s">
        <v>235</v>
      </c>
      <c r="D7" s="8">
        <v>15</v>
      </c>
      <c r="E7" s="8">
        <v>41</v>
      </c>
      <c r="F7" s="8">
        <v>13</v>
      </c>
      <c r="G7" s="8" t="s">
        <v>670</v>
      </c>
    </row>
    <row r="8" spans="1:7" x14ac:dyDescent="0.3">
      <c r="A8" s="8" t="s">
        <v>285</v>
      </c>
      <c r="B8" s="8" t="s">
        <v>286</v>
      </c>
      <c r="C8" s="8" t="s">
        <v>307</v>
      </c>
      <c r="D8" s="8">
        <v>15</v>
      </c>
      <c r="E8" s="8">
        <v>40</v>
      </c>
      <c r="F8" s="8">
        <v>13</v>
      </c>
      <c r="G8" s="8" t="s">
        <v>671</v>
      </c>
    </row>
    <row r="9" spans="1:7" x14ac:dyDescent="0.3">
      <c r="A9" s="8" t="s">
        <v>353</v>
      </c>
      <c r="B9" s="8" t="s">
        <v>354</v>
      </c>
      <c r="C9" s="8" t="s">
        <v>373</v>
      </c>
      <c r="D9" s="8">
        <v>15</v>
      </c>
      <c r="E9" s="8">
        <v>35</v>
      </c>
      <c r="F9" s="8">
        <v>13</v>
      </c>
      <c r="G9" s="8" t="s">
        <v>672</v>
      </c>
    </row>
    <row r="10" spans="1:7" x14ac:dyDescent="0.3">
      <c r="A10" s="8" t="s">
        <v>419</v>
      </c>
      <c r="B10" s="8" t="s">
        <v>420</v>
      </c>
      <c r="C10" s="8" t="s">
        <v>451</v>
      </c>
      <c r="D10" s="8">
        <v>15</v>
      </c>
      <c r="E10" s="8">
        <v>29</v>
      </c>
      <c r="F10" s="8">
        <v>6</v>
      </c>
      <c r="G10" s="8" t="s">
        <v>673</v>
      </c>
    </row>
    <row r="11" spans="1:7" x14ac:dyDescent="0.3">
      <c r="A11" s="8" t="s">
        <v>486</v>
      </c>
      <c r="B11" s="8" t="s">
        <v>487</v>
      </c>
      <c r="C11" s="8" t="s">
        <v>509</v>
      </c>
      <c r="D11" s="8">
        <v>12</v>
      </c>
      <c r="E11" s="8">
        <v>23</v>
      </c>
      <c r="F11" s="8">
        <v>5</v>
      </c>
      <c r="G11" s="8" t="s">
        <v>674</v>
      </c>
    </row>
    <row r="12" spans="1:7" x14ac:dyDescent="0.3">
      <c r="A12" s="8" t="s">
        <v>540</v>
      </c>
      <c r="B12" s="8" t="s">
        <v>541</v>
      </c>
      <c r="C12" s="8" t="s">
        <v>562</v>
      </c>
      <c r="D12" s="8">
        <v>8</v>
      </c>
      <c r="E12" s="8">
        <v>14</v>
      </c>
      <c r="F12" s="8">
        <v>5</v>
      </c>
      <c r="G12" s="8" t="s">
        <v>675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 Resumen Ejecutivo</vt:lpstr>
      <vt:lpstr>📋 Backlog Completo</vt:lpstr>
      <vt:lpstr>🔄 Sprint 2</vt:lpstr>
      <vt:lpstr>🔄 Sprint 3</vt:lpstr>
      <vt:lpstr>🔄 Sprint 4</vt:lpstr>
      <vt:lpstr>🔄 Sprint 5</vt:lpstr>
      <vt:lpstr>🔄 Sprint 6</vt:lpstr>
      <vt:lpstr>📊 Datos Gantt</vt:lpstr>
      <vt:lpstr>🔗 Dependencias</vt:lpstr>
      <vt:lpstr>🏷️ Por Dominio</vt:lpstr>
      <vt:lpstr>⚠️ Riesgos</vt:lpstr>
      <vt:lpstr>📅 Timeline Semanal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Jesús García Gracia- GRUPO ASSA</cp:lastModifiedBy>
  <dcterms:created xsi:type="dcterms:W3CDTF">2026-01-08T23:04:54Z</dcterms:created>
  <dcterms:modified xsi:type="dcterms:W3CDTF">2026-01-25T07:32:52Z</dcterms:modified>
</cp:coreProperties>
</file>