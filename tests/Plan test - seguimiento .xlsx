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us_\Documents\AI\ZTWQ\c2pro\tests\"/>
    </mc:Choice>
  </mc:AlternateContent>
  <xr:revisionPtr revIDLastSave="0" documentId="13_ncr:1_{48D1AF15-6B07-4FFF-A790-7B3EC293CAB5}" xr6:coauthVersionLast="47" xr6:coauthVersionMax="47" xr10:uidLastSave="{00000000-0000-0000-0000-000000000000}"/>
  <bookViews>
    <workbookView xWindow="-108" yWindow="-108" windowWidth="23256" windowHeight="12456" tabRatio="601" activeTab="1" xr2:uid="{297FDD56-996B-4A91-B117-D5E5BF79AC61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1" hidden="1">Hoja2!$A$1:$L$141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1" i="2" l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</calcChain>
</file>

<file path=xl/sharedStrings.xml><?xml version="1.0" encoding="utf-8"?>
<sst xmlns="http://schemas.openxmlformats.org/spreadsheetml/2006/main" count="3311" uniqueCount="652">
  <si>
    <t>ID</t>
  </si>
  <si>
    <t>Layer/Category</t>
  </si>
  <si>
    <t>Test Case Name</t>
  </si>
  <si>
    <t>COMPONENT NAME</t>
  </si>
  <si>
    <t>llm</t>
  </si>
  <si>
    <t>estado</t>
  </si>
  <si>
    <t>test</t>
  </si>
  <si>
    <t>DEV</t>
  </si>
  <si>
    <t>TS-UC-SEC-MCP-001</t>
  </si>
  <si>
    <t>CORE</t>
  </si>
  <si>
    <t>test_001_view_operation_projects_summary_allowed</t>
  </si>
  <si>
    <t>MCP Gateway Allowlist Validation</t>
  </si>
  <si>
    <t>gemini</t>
  </si>
  <si>
    <t>done</t>
  </si>
  <si>
    <t>apps/api/tests/modules/mcp/adapters/.</t>
  </si>
  <si>
    <t>codex</t>
  </si>
  <si>
    <t>test_002_view_operation_alerts_active_allowed</t>
  </si>
  <si>
    <t>test_003_view_operation_coherence_latest_allowed</t>
  </si>
  <si>
    <t>test_004_view_operation_documents_metadata_allowed</t>
  </si>
  <si>
    <t>test_005_view_operation_stakeholders_list_allowed</t>
  </si>
  <si>
    <t>test_006_view_operation_wbs_structure_allowed</t>
  </si>
  <si>
    <t>test_007_view_operation_bom_items_allowed</t>
  </si>
  <si>
    <t>test_008_view_operation_audit_recent_allowed</t>
  </si>
  <si>
    <t>test_009_function_operation_create_alert_allowed</t>
  </si>
  <si>
    <t>test_010_function_operation_update_score_allowed</t>
  </si>
  <si>
    <t>test_011_function_operation_flag_review_allowed</t>
  </si>
  <si>
    <t>test_012_function_operation_add_note_allowed</t>
  </si>
  <si>
    <t>test_013_function_operation_trigger_recalc_allowed</t>
  </si>
  <si>
    <t>test_014_unknown_operation_blocked</t>
  </si>
  <si>
    <t>test_015_destructive_operation_delete_all_blocked</t>
  </si>
  <si>
    <t>test_016_destructive_operation_drop_table_blocked</t>
  </si>
  <si>
    <t>test_017_tenant_extended_allowlist_custom_operation</t>
  </si>
  <si>
    <t>test_018_tenant_restricted_allowlist_blocked</t>
  </si>
  <si>
    <t>test_edge_001_empty_operation_name</t>
  </si>
  <si>
    <t>test_edge_002_null_tenant_id</t>
  </si>
  <si>
    <t>test_edge_003_case_insensitive_operation</t>
  </si>
  <si>
    <t>test_edge_004_whitespace_in_operation</t>
  </si>
  <si>
    <t>TS-UC-SEC-MCP-002</t>
  </si>
  <si>
    <t>test_001_request_under_limit_allowed</t>
  </si>
  <si>
    <t>MCP Gateway Rate Limiting</t>
  </si>
  <si>
    <t>TS-UC-SEC-MCP-002test_001_request_under_limit_allowed</t>
  </si>
  <si>
    <t>test_002_request_at_limit_59_allowed</t>
  </si>
  <si>
    <t>TS-UC-SEC-MCP-002test_002_request_at_limit_59_allowed</t>
  </si>
  <si>
    <t>test_003_request_at_limit_60_allowed</t>
  </si>
  <si>
    <t>TS-UC-SEC-MCP-002test_003_request_at_limit_60_allowed</t>
  </si>
  <si>
    <t>test_004_request_over_limit_61_blocked</t>
  </si>
  <si>
    <t>TS-UC-SEC-MCP-002test_004_request_over_limit_61_blocked</t>
  </si>
  <si>
    <t>test_005_request_over_limit_100_blocked</t>
  </si>
  <si>
    <t>TS-UC-SEC-MCP-002test_005_request_over_limit_100_blocked</t>
  </si>
  <si>
    <t>test_006_window_reset_after_60_seconds</t>
  </si>
  <si>
    <t>TS-UC-SEC-MCP-002test_006_window_reset_after_60_seconds</t>
  </si>
  <si>
    <t>test_007_tenant_isolation_separate_counters</t>
  </si>
  <si>
    <t>TS-UC-SEC-MCP-002test_007_tenant_isolation_separate_counters</t>
  </si>
  <si>
    <t>test_008_tenant_a_full_tenant_b_available</t>
  </si>
  <si>
    <t>TS-UC-SEC-MCP-002test_008_tenant_a_full_tenant_b_available</t>
  </si>
  <si>
    <t>test_009_sliding_window_calculation</t>
  </si>
  <si>
    <t>TS-UC-SEC-MCP-002test_009_sliding_window_calculation</t>
  </si>
  <si>
    <t>test_010_rate_limit_result_retry_after_header</t>
  </si>
  <si>
    <t>TS-UC-SEC-MCP-002test_010_rate_limit_result_retry_after_header</t>
  </si>
  <si>
    <t>test_011_rate_limit_audit_log_on_block</t>
  </si>
  <si>
    <t>TS-UC-SEC-MCP-002test_011_rate_limit_audit_log_on_block</t>
  </si>
  <si>
    <t>test_012_rate_limit_warning_at_80_percent</t>
  </si>
  <si>
    <t>TS-UC-SEC-MCP-002test_012_rate_limit_warning_at_80_percent</t>
  </si>
  <si>
    <t>test_013_concurrent_requests_race_condition</t>
  </si>
  <si>
    <t>TS-UC-SEC-MCP-002test_013_concurrent_requests_race_condition</t>
  </si>
  <si>
    <t>test_014_rate_limit_reset_at_midnight</t>
  </si>
  <si>
    <t>TS-UC-SEC-MCP-002test_014_rate_limit_reset_at_midnight</t>
  </si>
  <si>
    <t>test_edge_001_burst_59_requests_simultaneous</t>
  </si>
  <si>
    <t>TS-UC-SEC-MCP-002test_edge_001_burst_59_requests_simultaneous</t>
  </si>
  <si>
    <t>test_edge_002_exactly_60_second_boundary</t>
  </si>
  <si>
    <t>TS-UC-SEC-MCP-002test_edge_002_exactly_60_second_boundary</t>
  </si>
  <si>
    <t>test_edge_003_clock_skew_handling</t>
  </si>
  <si>
    <t>TS-UC-SEC-MCP-002test_edge_003_clock_skew_handling</t>
  </si>
  <si>
    <t>TS-UC-SEC-MCP-003</t>
  </si>
  <si>
    <t>test_001_query_under_5s_allowed</t>
  </si>
  <si>
    <t>MCP Gateway Query Limits</t>
  </si>
  <si>
    <t>apps/api/tests/modules/mcp/adapters/</t>
  </si>
  <si>
    <t>test_002_query_at_5s_allowed</t>
  </si>
  <si>
    <t>test_003_query_over_5s_timeout_cancelled</t>
  </si>
  <si>
    <t>test_004_query_result_under_1000_rows_allowed</t>
  </si>
  <si>
    <t>test_005_query_result_at_1000_rows_allowed</t>
  </si>
  <si>
    <t>test_006_query_result_over_1000_rows_truncated</t>
  </si>
  <si>
    <t>test_007_query_result_truncated_flag_set</t>
  </si>
  <si>
    <t>test_008_timeout_returns_partial_results</t>
  </si>
  <si>
    <t>test_009_timeout_audit_log_created</t>
  </si>
  <si>
    <t>test_010_row_limit_audit_log_created</t>
  </si>
  <si>
    <t>test_011_combined_timeout_and_row_limit</t>
  </si>
  <si>
    <t>test_012_query_limit_config_per_tenant</t>
  </si>
  <si>
    <t>test_edge_001_exactly_1000_rows</t>
  </si>
  <si>
    <t>test_edge_002_empty_result_set</t>
  </si>
  <si>
    <t>test_edge_003_streaming_query_timeout</t>
  </si>
  <si>
    <t>TS-UC-SEC-ANO-001</t>
  </si>
  <si>
    <t>test_001_detect_dni_valid_12345678Z</t>
  </si>
  <si>
    <t>Anonymizer PII Detection</t>
  </si>
  <si>
    <t>test_002_detect_dni_valid_87654321X</t>
  </si>
  <si>
    <t>test_003_detect_dni_invalid_length_9_digits</t>
  </si>
  <si>
    <t>test_004_detect_dni_invalid_length_7_digits</t>
  </si>
  <si>
    <t>test_005_detect_dni_invalid_letter_checksum</t>
  </si>
  <si>
    <t>test_006_detect_multiple_dnis_in_text</t>
  </si>
  <si>
    <t>test_007_detect_email_simple</t>
  </si>
  <si>
    <t>test_008_detect_email_with_subdomain</t>
  </si>
  <si>
    <t>test_009_detect_email_with_plus_sign</t>
  </si>
  <si>
    <t>test_010_detect_email_invalid_no_at</t>
  </si>
  <si>
    <t>test_011_detect_multiple_emails_in_text</t>
  </si>
  <si>
    <t>test_012_detect_phone_mobile_612345678</t>
  </si>
  <si>
    <t>test_013_detect_phone_mobile_with_prefix_34</t>
  </si>
  <si>
    <t>test_014_detect_phone_landline_912345678</t>
  </si>
  <si>
    <t>test_015_detect_phone_invalid_short</t>
  </si>
  <si>
    <t>test_016_detect_multiple_phones_in_text</t>
  </si>
  <si>
    <t>test_017_detect_iban_spain_valid</t>
  </si>
  <si>
    <t>test_018_detect_iban_germany_valid</t>
  </si>
  <si>
    <t>test_019_detect_iban_invalid_checksum</t>
  </si>
  <si>
    <t>test_020_detect_iban_invalid_length</t>
  </si>
  <si>
    <t>test_021_detect_all_pii_types_in_document</t>
  </si>
  <si>
    <t>test_022_detect_no_pii_clean_document</t>
  </si>
  <si>
    <t>test_023_detect_pii_positions_returned</t>
  </si>
  <si>
    <t>test_024_detect_pii_counts_by_type</t>
  </si>
  <si>
    <t>test_edge_001_pii_in_different_languages</t>
  </si>
  <si>
    <t>test_edge_002_pii_with_unicode_characters</t>
  </si>
  <si>
    <t>test_edge_003_pii_in_html_escaped_text</t>
  </si>
  <si>
    <t>TS-UC-SEC-ANO-002</t>
  </si>
  <si>
    <t>test_001_redact_dni_to_redacted</t>
  </si>
  <si>
    <t>Anonymizer Strategies</t>
  </si>
  <si>
    <t>test_002_redact_email_to_redacted</t>
  </si>
  <si>
    <t>test_003_redact_phone_to_redacted</t>
  </si>
  <si>
    <t>test_004_redact_multiple_pii_all_redacted</t>
  </si>
  <si>
    <t>test_005_hash_dni_deterministic</t>
  </si>
  <si>
    <t>test_006_hash_same_value_same_hash</t>
  </si>
  <si>
    <t>test_007_hash_different_values_different_hash</t>
  </si>
  <si>
    <t>test_008_hash_irreversible_validation</t>
  </si>
  <si>
    <t>test_009_pseudonymize_name_to_persona_001</t>
  </si>
  <si>
    <t>test_010_pseudonymize_consistent_same_name</t>
  </si>
  <si>
    <t>test_011_pseudonymize_different_names_different_ids</t>
  </si>
  <si>
    <t>test_012_pseudonymize_in_context_preserved</t>
  </si>
  <si>
    <t>test_013_strategy_by_pii_type_default</t>
  </si>
  <si>
    <t>test_014_strategy_by_tenant_config</t>
  </si>
  <si>
    <t>test_015_strategy_mixed_per_type</t>
  </si>
  <si>
    <t>test_016_strategy_none_keeps_original</t>
  </si>
  <si>
    <t>test_edge_001_nested_pii_in_pii</t>
  </si>
  <si>
    <t>test_edge_002_overlapping_pii_positions</t>
  </si>
  <si>
    <t>test_edge_003_empty_text_no_error</t>
  </si>
  <si>
    <t>TS-UC-SEC-ANO-003</t>
  </si>
  <si>
    <t>Tests not individually listed</t>
  </si>
  <si>
    <t>Anti-Gaming Detection</t>
  </si>
  <si>
    <t>TS-UC-SEC-TNT-001</t>
  </si>
  <si>
    <t>TS-UC-SEC-JWT-001</t>
  </si>
  <si>
    <t>TS-UC-SEC-AUD-001</t>
  </si>
  <si>
    <t>TS-UC-SEC-GAM-001</t>
  </si>
  <si>
    <t>test_001_mass_changes_11_in_hour_detected</t>
  </si>
  <si>
    <t>test_002_mass_changes_10_in_hour_allowed</t>
  </si>
  <si>
    <t>test_003_mass_changes_window_reset</t>
  </si>
  <si>
    <t>test_004_resolve_reintroduce_3_times_detected</t>
  </si>
  <si>
    <t>test_005_resolve_reintroduce_2_times_allowed</t>
  </si>
  <si>
    <t>test_006_resolve_reintroduce_different_hash_allowed</t>
  </si>
  <si>
    <t>test_007_high_score_few_docs_detected</t>
  </si>
  <si>
    <t>test_008_high_score_many_docs_allowed</t>
  </si>
  <si>
    <t>test_009_high_score_threshold_boundary</t>
  </si>
  <si>
    <t>test_010_weight_change_25_percent_detected</t>
  </si>
  <si>
    <t>test_011_weight_change_15_percent_allowed</t>
  </si>
  <si>
    <t>test_012_weight_change_tracking_24h_window</t>
  </si>
  <si>
    <t>test_edge_001_multiple_violations_combined</t>
  </si>
  <si>
    <t>test_edge_002_violation_penalty_application</t>
  </si>
  <si>
    <t>test_edge_003_violation_audit_logging</t>
  </si>
  <si>
    <t>TS-UD-DOC-CLS-001</t>
  </si>
  <si>
    <t>DOMAIN-DOCS</t>
  </si>
  <si>
    <t>test_001_clause_creation_with_all_fields</t>
  </si>
  <si>
    <t>Clause Entity</t>
  </si>
  <si>
    <t>apps/api/tests/modules/documents/domain/.</t>
  </si>
  <si>
    <t>test_002_clause_creation_minimum_fields</t>
  </si>
  <si>
    <t>test_003_clause_creation_fails_without_content</t>
  </si>
  <si>
    <t>test_004_clause_creation_fails_without_document_id</t>
  </si>
  <si>
    <t>test_005_clause_creation_fails_without_tenant_id</t>
  </si>
  <si>
    <t>test_006_clause_immutability_after_creation</t>
  </si>
  <si>
    <t>test_007_clause_number_format_primera</t>
  </si>
  <si>
    <t>test_008_clause_number_format_numeric</t>
  </si>
  <si>
    <t>test_009_clause_number_format_decimal</t>
  </si>
  <si>
    <t>test_010_clause_number_normalization</t>
  </si>
  <si>
    <t>test_011_clause_content_max_length</t>
  </si>
  <si>
    <t>test_012_clause_content_empty_rejected</t>
  </si>
  <si>
    <t>test_013_clause_document_fk_valid</t>
  </si>
  <si>
    <t>test_014_clause_document_fk_invalid_rejected</t>
  </si>
  <si>
    <t>test_015_clause_tenant_fk_valid</t>
  </si>
  <si>
    <t>test_016_clause_tenant_fk_invalid_rejected</t>
  </si>
  <si>
    <t>test_017_clause_on_delete_restrict_document</t>
  </si>
  <si>
    <t>test_018_clause_on_delete_restrict_tenant</t>
  </si>
  <si>
    <t>test_019_clause_embedding_vector_size</t>
  </si>
  <si>
    <t>test_020_clause_embedding_generation</t>
  </si>
  <si>
    <t>test_021_clause_embedding_null_allowed</t>
  </si>
  <si>
    <t>test_022_clause_embedding_update</t>
  </si>
  <si>
    <t>TS-UD-DOC-CLS-002</t>
  </si>
  <si>
    <t>Entity Extraction - Dates</t>
  </si>
  <si>
    <t>TS-UD-DOC-CLS-003</t>
  </si>
  <si>
    <t>TS-UD-DOC-ENT-001</t>
  </si>
  <si>
    <t>test_001_date_dd_mm_yyyy_slash</t>
  </si>
  <si>
    <t>test_002_date_yyyy_mm_dd_dash</t>
  </si>
  <si>
    <t>test_003_date_dd_month_yyyy_spanish</t>
  </si>
  <si>
    <t>test_004_date_month_dd_yyyy_english</t>
  </si>
  <si>
    <t>test_005_date_relative_30_days</t>
  </si>
  <si>
    <t>test_006_date_relative_3_months</t>
  </si>
  <si>
    <t>test_007_date_relative_1_year</t>
  </si>
  <si>
    <t>test_008_date_relative_from_date</t>
  </si>
  <si>
    <t>test_009_date_context_entrega</t>
  </si>
  <si>
    <t>test_010_date_context_firma</t>
  </si>
  <si>
    <t>test_011_date_context_inicio</t>
  </si>
  <si>
    <t>test_012_date_context_fin</t>
  </si>
  <si>
    <t>test_013_multiple_dates_extraction</t>
  </si>
  <si>
    <t>test_014_multiple_dates_ordering</t>
  </si>
  <si>
    <t>test_015_date_range_extraction</t>
  </si>
  <si>
    <t>test_016_date_invalid_format_ignored</t>
  </si>
  <si>
    <t>Entity Extraction - Money</t>
  </si>
  <si>
    <t>TS-UD-DOC-ENT-002</t>
  </si>
  <si>
    <t>test_001_money_eur_symbol_suffix</t>
  </si>
  <si>
    <t>test_002_money_eur_symbol_prefix</t>
  </si>
  <si>
    <t>test_003_money_eur_word_euros</t>
  </si>
  <si>
    <t>test_004_money_eur_thousands_separator</t>
  </si>
  <si>
    <t>test_005_money_usd_symbol</t>
  </si>
  <si>
    <t>test_006_money_usd_word</t>
  </si>
  <si>
    <t>test_007_money_usd_thousands_separator</t>
  </si>
  <si>
    <t>test_008_money_context_anticipo</t>
  </si>
  <si>
    <t>test_009_money_context_pago_final</t>
  </si>
  <si>
    <t>test_010_money_context_penalizacion</t>
  </si>
  <si>
    <t>test_011_money_context_total</t>
  </si>
  <si>
    <t>test_012_multiple_amounts_extraction</t>
  </si>
  <si>
    <t>test_013_money_percentage_extraction</t>
  </si>
  <si>
    <t>test_014_money_negative_amount</t>
  </si>
  <si>
    <t>TS-UD-DOC-ENT-003</t>
  </si>
  <si>
    <t>TS-UD-DOC-ENT-004</t>
  </si>
  <si>
    <t>TS-UD-DOC-DOC-001</t>
  </si>
  <si>
    <t>TS-UD-DOC-CNF-001</t>
  </si>
  <si>
    <t>TS-UD-COH-CAT-001</t>
  </si>
  <si>
    <t>DOMAIN-COHERENCE</t>
  </si>
  <si>
    <t>TS-UD-COH-RUL-001</t>
  </si>
  <si>
    <t>test_001_r11_wbs_level4_no_activities_alert</t>
  </si>
  <si>
    <t>Rules Engine - SCOPE</t>
  </si>
  <si>
    <t>apps/api/tests/modules/coherence/domain/.</t>
  </si>
  <si>
    <t>test_002_r11_wbs_level4_with_activities_pass</t>
  </si>
  <si>
    <t>test_003_r11_wbs_level3_no_activities_ignored</t>
  </si>
  <si>
    <t>test_004_r11_wbs_level2_no_activities_ignored</t>
  </si>
  <si>
    <t>test_005_r11_multiple_wbs_level4_violations</t>
  </si>
  <si>
    <t>test_006_r11_alert_severity_medium</t>
  </si>
  <si>
    <t>test_007_r12_wbs_no_budget_line_alert</t>
  </si>
  <si>
    <t>test_008_r12_wbs_with_budget_line_pass</t>
  </si>
  <si>
    <t>test_009_r12_wbs_budget_zero_warning</t>
  </si>
  <si>
    <t>test_010_r12_multiple_wbs_violations</t>
  </si>
  <si>
    <t>test_011_r12_alert_severity_high</t>
  </si>
  <si>
    <t>test_012_r12_affected_entities_list</t>
  </si>
  <si>
    <t>test_013_r13_scope_clause_no_wbs_alert</t>
  </si>
  <si>
    <t>test_014_r13_scope_clause_with_wbs_pass</t>
  </si>
  <si>
    <t>test_015_r13_partial_coverage_calculation</t>
  </si>
  <si>
    <t>test_016_r13_coverage_percentage_80</t>
  </si>
  <si>
    <t>test_017_r13_uncovered_clauses_list</t>
  </si>
  <si>
    <t>test_018_r13_alert_severity_high</t>
  </si>
  <si>
    <t>Rules Engine - BUDGET</t>
  </si>
  <si>
    <t>TS-UD-COH-RUL-002</t>
  </si>
  <si>
    <t>test_001_r6_deviation_10_percent_alert</t>
  </si>
  <si>
    <t>test_002_r6_deviation_5_percent_pass</t>
  </si>
  <si>
    <t>test_003_r6_deviation_4_9_percent_pass</t>
  </si>
  <si>
    <t>test_004_r6_over_budget_critical</t>
  </si>
  <si>
    <t>test_005_r6_under_budget_warning</t>
  </si>
  <si>
    <t>test_006_r6_exact_match_pass</t>
  </si>
  <si>
    <t>test_007_r15_bom_no_budget_alert</t>
  </si>
  <si>
    <t>test_008_r15_bom_with_budget_pass</t>
  </si>
  <si>
    <t>test_009_r15_bom_client_provided_exception</t>
  </si>
  <si>
    <t>test_010_r15_multiple_bom_violations</t>
  </si>
  <si>
    <t>test_011_r15_affected_items_list</t>
  </si>
  <si>
    <t>test_012_r16_deviation_11_percent_alert</t>
  </si>
  <si>
    <t>test_013_r16_deviation_10_percent_pass</t>
  </si>
  <si>
    <t>test_014_r16_over_budget_critical</t>
  </si>
  <si>
    <t>test_015_r16_under_budget_different_severity</t>
  </si>
  <si>
    <t>test_016_r16_trend_calculation</t>
  </si>
  <si>
    <t>TS-UD-COH-RUL-003</t>
  </si>
  <si>
    <t>test_001_r1_dates_mismatch_alert</t>
  </si>
  <si>
    <t>Rules Engine - TIME</t>
  </si>
  <si>
    <t>test_002_r1_dates_match_pass</t>
  </si>
  <si>
    <t>test_003_r1_schedule_late_critical</t>
  </si>
  <si>
    <t>test_004_r1_schedule_early_warning</t>
  </si>
  <si>
    <t>test_005_r1_delta_days_calculation</t>
  </si>
  <si>
    <t>test_006_r2_milestone_no_activity_alert</t>
  </si>
  <si>
    <t>test_007_r2_milestone_with_activity_pass</t>
  </si>
  <si>
    <t>test_008_r2_milestone_date_mismatch_alert</t>
  </si>
  <si>
    <t>test_009_r2_multiple_milestones_violations</t>
  </si>
  <si>
    <t>test_010_r2_unlinked_milestones_list</t>
  </si>
  <si>
    <t>test_011_r5_activity_exceeds_contract_alert</t>
  </si>
  <si>
    <t>test_012_r5_activity_within_contract_pass</t>
  </si>
  <si>
    <t>test_013_r5_exceeding_activities_list</t>
  </si>
  <si>
    <t>test_014_r5_alert_severity_critical</t>
  </si>
  <si>
    <t>test_015_r14_order_date_passed_critical</t>
  </si>
  <si>
    <t>test_016_r14_order_date_tight_warning</t>
  </si>
  <si>
    <t>TS-UD-COH-RUL-004</t>
  </si>
  <si>
    <t>TS-UD-COH-RUL-005</t>
  </si>
  <si>
    <t>TS-UD-COH-RUL-006</t>
  </si>
  <si>
    <t>TS-UD-COH-SCR-001</t>
  </si>
  <si>
    <t>test_001_subscore_no_alerts_100_percent</t>
  </si>
  <si>
    <t>Score Calculator - SubScores</t>
  </si>
  <si>
    <t>test_002_subscore_one_alert_penalized</t>
  </si>
  <si>
    <t>test_003_subscore_multiple_alerts_cumulative</t>
  </si>
  <si>
    <t>test_004_subscore_severity_low_penalty_5</t>
  </si>
  <si>
    <t>test_005_subscore_severity_medium_penalty_10</t>
  </si>
  <si>
    <t>test_006_subscore_severity_high_penalty_20</t>
  </si>
  <si>
    <t>test_007_subscore_severity_critical_penalty_30</t>
  </si>
  <si>
    <t>test_008_subscore_scope_calculation</t>
  </si>
  <si>
    <t>test_009_subscore_budget_calculation</t>
  </si>
  <si>
    <t>test_010_subscore_quality_calculation</t>
  </si>
  <si>
    <t>test_011_subscore_technical_calculation</t>
  </si>
  <si>
    <t>test_012_subscore_legal_calculation</t>
  </si>
  <si>
    <t>test_013_subscore_time_calculation</t>
  </si>
  <si>
    <t>test_014_subscore_floor_at_zero</t>
  </si>
  <si>
    <t>TS-UD-COH-SCR-002</t>
  </si>
  <si>
    <t>test_001_global_score_formula_verification</t>
  </si>
  <si>
    <t>Score Calculator - Global</t>
  </si>
  <si>
    <t>test_002_global_score_default_weights</t>
  </si>
  <si>
    <t>test_003_global_score_all_100_equals_100</t>
  </si>
  <si>
    <t>test_004_global_score_all_0_equals_0</t>
  </si>
  <si>
    <t>test_005_global_score_mixed_subscores</t>
  </si>
  <si>
    <t>test_006_global_score_range_0_to_100</t>
  </si>
  <si>
    <t>test_007_weights_sum_validation</t>
  </si>
  <si>
    <t>test_008_weights_normalization_auto</t>
  </si>
  <si>
    <t>test_009_weights_custom_budget_30</t>
  </si>
  <si>
    <t>test_010_weights_custom_time_25</t>
  </si>
  <si>
    <t>test_011_weights_per_project_type</t>
  </si>
  <si>
    <t>test_012_weights_history_tracking</t>
  </si>
  <si>
    <t>TS-UD-COH-SCR-003</t>
  </si>
  <si>
    <t>TS-UD-COH-GAM-001</t>
  </si>
  <si>
    <t>test_001_detect_mass_changes_15_in_30min</t>
  </si>
  <si>
    <t>Anti-Gaming Policy</t>
  </si>
  <si>
    <t>test_002_no_violation_10_in_60min</t>
  </si>
  <si>
    <t>test_003_mass_changes_window_sliding</t>
  </si>
  <si>
    <t>test_004_mass_changes_flag_for_review</t>
  </si>
  <si>
    <t>test_005_detect_resolve_reintroduce_4_times</t>
  </si>
  <si>
    <t>test_006_no_violation_2_times</t>
  </si>
  <si>
    <t>test_007_hash_comparison_same_content</t>
  </si>
  <si>
    <t>test_008_penalty_minus_5_points</t>
  </si>
  <si>
    <t>test_009_detect_95_percent_3_docs</t>
  </si>
  <si>
    <t>test_010_no_violation_95_percent_50_docs</t>
  </si>
  <si>
    <t>test_011_threshold_90_percent_5_docs</t>
  </si>
  <si>
    <t>test_012_require_audit_action</t>
  </si>
  <si>
    <t>test_013_detect_weight_change_25_percent</t>
  </si>
  <si>
    <t>test_014_no_violation_change_15_percent</t>
  </si>
  <si>
    <t>test_015_24h_window_tracking</t>
  </si>
  <si>
    <t>test_016_notify_admin_action</t>
  </si>
  <si>
    <t>TS-UD-COH-ALR-001</t>
  </si>
  <si>
    <t>TS-UD-PRJ-WBS-001</t>
  </si>
  <si>
    <t>DOMAIN-PROJECTS</t>
  </si>
  <si>
    <t>test_001_wbs_item_creation_all_fields</t>
  </si>
  <si>
    <t>WBS Item Entity</t>
  </si>
  <si>
    <t xml:space="preserve"> apps/api/tests/modules/projects/domain/.</t>
  </si>
  <si>
    <t>test_002_wbs_item_creation_minimum_fields</t>
  </si>
  <si>
    <t>test_003_wbs_item_fails_without_code</t>
  </si>
  <si>
    <t>test_004_wbs_item_fails_without_name</t>
  </si>
  <si>
    <t>test_005_wbs_item_fails_invalid_level</t>
  </si>
  <si>
    <t>test_006_wbs_item_immutability</t>
  </si>
  <si>
    <t>test_007_wbs_code_format_1</t>
  </si>
  <si>
    <t>test_008_wbs_code_format_1_1</t>
  </si>
  <si>
    <t>test_009_wbs_code_format_1_1_1</t>
  </si>
  <si>
    <t>test_010_wbs_code_format_1_1_1_1</t>
  </si>
  <si>
    <t>test_011_wbs_code_invalid_format_rejected</t>
  </si>
  <si>
    <t>test_012_wbs_code_uniqueness_per_project</t>
  </si>
  <si>
    <t>test_013_wbs_level_1_valid</t>
  </si>
  <si>
    <t>test_014_wbs_level_4_valid</t>
  </si>
  <si>
    <t>test_015_wbs_level_0_invalid</t>
  </si>
  <si>
    <t>test_016_wbs_level_5_invalid</t>
  </si>
  <si>
    <t>test_017_wbs_level_matches_code_depth</t>
  </si>
  <si>
    <t>test_018_wbs_level_parent_child_validation</t>
  </si>
  <si>
    <t>TS-UD-PRJ-WBS-002</t>
  </si>
  <si>
    <t>TS-UD-PRJ-WBS-003</t>
  </si>
  <si>
    <t>TS-UD-PRJ-WBS-004</t>
  </si>
  <si>
    <t>TS-UD-PRJ-PRJ-001</t>
  </si>
  <si>
    <t>TS-UD-PRJ-DTO-001</t>
  </si>
  <si>
    <t>TS-UD-PROC-BOM-001</t>
  </si>
  <si>
    <t>DOMAIN-PROCUREMENT</t>
  </si>
  <si>
    <t>TS-UD-PROC-BOM-002</t>
  </si>
  <si>
    <t>TS-UD-PROC-LTM-001</t>
  </si>
  <si>
    <t>test_001_optimal_date_production_only</t>
  </si>
  <si>
    <t>Lead Time Calculator - Basic</t>
  </si>
  <si>
    <t>apps/api/tests/modules/procurement/domain/.</t>
  </si>
  <si>
    <t>test_002_optimal_date_production_transit</t>
  </si>
  <si>
    <t>test_003_optimal_date_production_transit_buffer</t>
  </si>
  <si>
    <t>test_004_optimal_date_all_components</t>
  </si>
  <si>
    <t>test_005_lead_time_breakdown_returned</t>
  </si>
  <si>
    <t>test_006_required_on_site_calculation</t>
  </si>
  <si>
    <t>test_007_business_days_calculation</t>
  </si>
  <si>
    <t>test_008_weekend_exclusion</t>
  </si>
  <si>
    <t>test_009_holiday_exclusion</t>
  </si>
  <si>
    <t>test_010_delivery_on_weekend_adjusted</t>
  </si>
  <si>
    <t>test_011_mixed_calendar_business_days</t>
  </si>
  <si>
    <t>test_012_alert_r14_date_passed</t>
  </si>
  <si>
    <t>test_013_alert_r14_tight_margin_3_days</t>
  </si>
  <si>
    <t>test_014_alert_severity_critical_passed</t>
  </si>
  <si>
    <t>test_015_alert_severity_warning_tight</t>
  </si>
  <si>
    <t>test_016_no_alert_sufficient_margin</t>
  </si>
  <si>
    <t>TS-UD-PROC-LTM-002</t>
  </si>
  <si>
    <t>test_001_exw_buyer_full_responsibility</t>
  </si>
  <si>
    <t>Lead Time Calculator - Incoterms</t>
  </si>
  <si>
    <t>test_002_exw_transit_time_included</t>
  </si>
  <si>
    <t>test_003_exw_customs_included</t>
  </si>
  <si>
    <t>test_004_fob_shared_responsibility</t>
  </si>
  <si>
    <t>test_005_fob_port_handover</t>
  </si>
  <si>
    <t>test_006_fob_insurance_buyer</t>
  </si>
  <si>
    <t>test_007_cif_seller_insurance</t>
  </si>
  <si>
    <t>test_008_cif_port_to_port</t>
  </si>
  <si>
    <t>test_009_cif_customs_buyer</t>
  </si>
  <si>
    <t>test_010_ddp_seller_full_responsibility</t>
  </si>
  <si>
    <t>test_011_ddp_no_customs_buyer</t>
  </si>
  <si>
    <t>test_012_ddp_door_to_door</t>
  </si>
  <si>
    <t>test_013_incoterm_comparison_same_route</t>
  </si>
  <si>
    <t>test_014_incoterm_impact_on_lead_time</t>
  </si>
  <si>
    <t>TS-UD-PROC-LTM-003</t>
  </si>
  <si>
    <t>TS-UD-PROC-LTM-004</t>
  </si>
  <si>
    <t>TS-UD-PROC-PLN-001</t>
  </si>
  <si>
    <t>TS-UD-STK-ENT-001</t>
  </si>
  <si>
    <t>DOMAIN-STAKEHOLDERS</t>
  </si>
  <si>
    <t>TS-UD-STK-CLS-001</t>
  </si>
  <si>
    <t>TS-UD-STK-CLS-002</t>
  </si>
  <si>
    <t>TS-UD-STK-RAC-001</t>
  </si>
  <si>
    <t>TS-UD-STK-RAC-002</t>
  </si>
  <si>
    <t>TS-UD-STK-RAC-003</t>
  </si>
  <si>
    <t>TS-UD-STK-MAP-001</t>
  </si>
  <si>
    <t>TS-UD-ANA-ALR-001</t>
  </si>
  <si>
    <t>DOMAIN-ANALYSIS</t>
  </si>
  <si>
    <t>TS-UD-ANA-GRP-001</t>
  </si>
  <si>
    <t>TS-UD-ANA-GRP-002</t>
  </si>
  <si>
    <t>TS-UD-ANA-SRC-001</t>
  </si>
  <si>
    <t>TS-UD-ANA-HYB-001</t>
  </si>
  <si>
    <t>TS-UA-DOC-UC-001</t>
  </si>
  <si>
    <t>APPLICATION-USE-CASES</t>
  </si>
  <si>
    <t>TS-UA-DOC-UC-002</t>
  </si>
  <si>
    <t>TS-UA-DOC-UC-003</t>
  </si>
  <si>
    <t>TS-UA-COH-UC-001</t>
  </si>
  <si>
    <t>TS-UA-COH-UC-002</t>
  </si>
  <si>
    <t>TS-UA-PRJ-UC-001</t>
  </si>
  <si>
    <t>TS-UA-PRJ-UC-002</t>
  </si>
  <si>
    <t>TS-UA-PROC-UC-001</t>
  </si>
  <si>
    <t>TS-UA-PROC-UC-002</t>
  </si>
  <si>
    <t>TS-UA-STK-UC-001</t>
  </si>
  <si>
    <t>TS-UA-STK-UC-002</t>
  </si>
  <si>
    <t>TS-UA-ANA-UC-001</t>
  </si>
  <si>
    <t>TS-UA-ANA-UC-002</t>
  </si>
  <si>
    <t>TS-UA-SEC-UC-001</t>
  </si>
  <si>
    <t>TS-UA-SEC-UC-002</t>
  </si>
  <si>
    <t>TS-UA-SVC-EXT-001</t>
  </si>
  <si>
    <t>APPLICATION-SERVICES</t>
  </si>
  <si>
    <t>TS-UA-SVC-EXT-002</t>
  </si>
  <si>
    <t>TS-UA-SVC-COH-001</t>
  </si>
  <si>
    <t>TS-UA-SVC-PII-001</t>
  </si>
  <si>
    <t>TS-UA-SVC-ANO-001</t>
  </si>
  <si>
    <t>TS-UA-SVC-RTL-001</t>
  </si>
  <si>
    <t>TS-UA-SVC-BDG-001</t>
  </si>
  <si>
    <t>TS-UA-DTO-ALL-001</t>
  </si>
  <si>
    <t>APPLICATION-DTOS</t>
  </si>
  <si>
    <t>CODEX</t>
  </si>
  <si>
    <t>TS-UA-DTO-SER-001</t>
  </si>
  <si>
    <t>TS-UAD-HTTP-RTR-001</t>
  </si>
  <si>
    <t>ADAPTERS-HTTP</t>
  </si>
  <si>
    <t>TS-UAD-HTTP-MDW-001</t>
  </si>
  <si>
    <t>TS-UAD-HTTP-ERR-001</t>
  </si>
  <si>
    <t>TS-UAD-PER-REP-001</t>
  </si>
  <si>
    <t>ADAPTERS-PERSISTENCE</t>
  </si>
  <si>
    <t>TS-UAD-PER-GRP-001</t>
  </si>
  <si>
    <t>TS-UAD-PER-RDS-001</t>
  </si>
  <si>
    <t>TS-UAD-PER-R2-001</t>
  </si>
  <si>
    <t>TS-INT-DB-CLS-001</t>
  </si>
  <si>
    <t>INTEGRATION</t>
  </si>
  <si>
    <t>TS-INT-DB-DOC-001</t>
  </si>
  <si>
    <t>TS-INT-DB-WBS-001</t>
  </si>
  <si>
    <t>TS-INT-DB-BOM-001</t>
  </si>
  <si>
    <t>TS-INT-DB-COH-001</t>
  </si>
  <si>
    <t>TS-INT-DB-AUD-001</t>
  </si>
  <si>
    <t>TS-INT-EXT-LLM-001</t>
  </si>
  <si>
    <t>TS-INT-EXT-LLM-002</t>
  </si>
  <si>
    <t>TS-INT-GRP-NEO-001</t>
  </si>
  <si>
    <t>TS-INT-MOD-WBS-001</t>
  </si>
  <si>
    <t>TS-INT-MOD-DOC-001</t>
  </si>
  <si>
    <t>TS-INT-MOD-ANA-001</t>
  </si>
  <si>
    <t>TS-INT-MOD-STK-001</t>
  </si>
  <si>
    <t>TS-INT-EVT-BUS-001</t>
  </si>
  <si>
    <t>TS-INT-EVT-CEL-001</t>
  </si>
  <si>
    <t>TS-INT-EVT-DLQ-001</t>
  </si>
  <si>
    <t>TS-E2E-FLW-DOC-001</t>
  </si>
  <si>
    <t>E2E</t>
  </si>
  <si>
    <t>TS-E2E-FLW-ALR-001</t>
  </si>
  <si>
    <t>TS-E2E-FLW-BLK-001</t>
  </si>
  <si>
    <t>TS-E2E-SEC-TNT-001</t>
  </si>
  <si>
    <t>claude</t>
  </si>
  <si>
    <t>TS-E2E-SEC-MCP-001</t>
  </si>
  <si>
    <t>TS-E2E-ERR-TIM-001</t>
  </si>
  <si>
    <t>TS-E2E-ERR-CON-001</t>
  </si>
  <si>
    <t>TS-E2E-ERR-REC-001</t>
  </si>
  <si>
    <t>TS-E2E-PER-LRG-001</t>
  </si>
  <si>
    <t>7- skateholders</t>
  </si>
  <si>
    <t>4- documents</t>
  </si>
  <si>
    <t>5- coherence</t>
  </si>
  <si>
    <t>6  - project</t>
  </si>
  <si>
    <t>7- procurement</t>
  </si>
  <si>
    <t>8 - skateholders</t>
  </si>
  <si>
    <t>9 - analysis</t>
  </si>
  <si>
    <t>1 - security</t>
  </si>
  <si>
    <t>12 -  API</t>
  </si>
  <si>
    <t>1 -  API</t>
  </si>
  <si>
    <t>4 - documents</t>
  </si>
  <si>
    <t>6 - projects wbs</t>
  </si>
  <si>
    <t>7 - procuremenr</t>
  </si>
  <si>
    <t>5 - coherence</t>
  </si>
  <si>
    <t>11 - intregration</t>
  </si>
  <si>
    <t>3 - asyc arquitecture</t>
  </si>
  <si>
    <t>13-  aysn arquitecture</t>
  </si>
  <si>
    <t>14 - QA/E2E</t>
  </si>
  <si>
    <t>Suite ID</t>
  </si>
  <si>
    <t>AGENTE</t>
  </si>
  <si>
    <t>prioridad</t>
  </si>
  <si>
    <t> AGENTE 1: SECURITY CORE                              ║</t>
  </si>
  <si>
    <t xml:space="preserve">TS-INT-* Integration tests </t>
  </si>
  <si>
    <t xml:space="preserve">TS-E2E-SEC-* E2E tests </t>
  </si>
  <si>
    <t xml:space="preserve">Logging tests </t>
  </si>
  <si>
    <t xml:space="preserve">Tracing tests </t>
  </si>
  <si>
    <t xml:space="preserve">Budget Circuit Breaker </t>
  </si>
  <si>
    <t xml:space="preserve">AI Usage Dashboard </t>
  </si>
  <si>
    <t xml:space="preserve">Remaining integration </t>
  </si>
  <si>
    <t xml:space="preserve">Event-driven workflow tests </t>
  </si>
  <si>
    <t xml:space="preserve">Worker scaling tests </t>
  </si>
  <si>
    <t xml:space="preserve"> DTOs Validation </t>
  </si>
  <si>
    <t xml:space="preserve"> Serialization </t>
  </si>
  <si>
    <t xml:space="preserve"> MCP Allowlist </t>
  </si>
  <si>
    <t xml:space="preserve"> Rate Limiting </t>
  </si>
  <si>
    <t xml:space="preserve"> Query Limits </t>
  </si>
  <si>
    <t>TS-UC-SEC-MCP-004</t>
  </si>
  <si>
    <t xml:space="preserve"> MCP Audit </t>
  </si>
  <si>
    <t xml:space="preserve"> PII Detection </t>
  </si>
  <si>
    <t xml:space="preserve"> Anonymizer Strategies </t>
  </si>
  <si>
    <t xml:space="preserve"> Tenant Config </t>
  </si>
  <si>
    <t xml:space="preserve"> Tenant Isolation </t>
  </si>
  <si>
    <t xml:space="preserve"> JWT Validation </t>
  </si>
  <si>
    <t xml:space="preserve"> Audit Trail Core </t>
  </si>
  <si>
    <t xml:space="preserve"> Anti-Gaming Detection </t>
  </si>
  <si>
    <t xml:space="preserve"> Event Bus </t>
  </si>
  <si>
    <t xml:space="preserve"> Clause Entity </t>
  </si>
  <si>
    <t xml:space="preserve"> Clause Types </t>
  </si>
  <si>
    <t xml:space="preserve"> SubClause Hierarchy </t>
  </si>
  <si>
    <t xml:space="preserve"> Entity Dates </t>
  </si>
  <si>
    <t xml:space="preserve"> Entity Money </t>
  </si>
  <si>
    <t xml:space="preserve"> Entity Durations </t>
  </si>
  <si>
    <t xml:space="preserve"> Entity Stakeholders </t>
  </si>
  <si>
    <t xml:space="preserve"> Document Entity </t>
  </si>
  <si>
    <t xml:space="preserve"> Confidence Scoring </t>
  </si>
  <si>
    <t>TS-UA-DOC-UC-*</t>
  </si>
  <si>
    <t xml:space="preserve"> Use Cases </t>
  </si>
  <si>
    <t>TS-UA-SVC-EXT-*</t>
  </si>
  <si>
    <t xml:space="preserve"> Services </t>
  </si>
  <si>
    <t>TS-INT-DB-DOC-*</t>
  </si>
  <si>
    <t xml:space="preserve"> Integration </t>
  </si>
  <si>
    <t>TS-E2E-FLW-DOC-*</t>
  </si>
  <si>
    <t xml:space="preserve"> E2E </t>
  </si>
  <si>
    <t xml:space="preserve"> Categories </t>
  </si>
  <si>
    <t xml:space="preserve"> Rules SCOPE </t>
  </si>
  <si>
    <t xml:space="preserve"> Rules BUDGET </t>
  </si>
  <si>
    <t xml:space="preserve"> Rules TIME </t>
  </si>
  <si>
    <t xml:space="preserve"> Rules TECHNICAL </t>
  </si>
  <si>
    <t xml:space="preserve"> Rules LEGAL </t>
  </si>
  <si>
    <t xml:space="preserve"> Rules QUALITY </t>
  </si>
  <si>
    <t xml:space="preserve"> SubScores </t>
  </si>
  <si>
    <t xml:space="preserve"> Global Score </t>
  </si>
  <si>
    <t xml:space="preserve"> Custom Weights </t>
  </si>
  <si>
    <t xml:space="preserve"> Anti-Gaming </t>
  </si>
  <si>
    <t xml:space="preserve"> Alert Mapping </t>
  </si>
  <si>
    <t>TS-E2E-*</t>
  </si>
  <si>
    <t xml:space="preserve"> WBS Item Entity </t>
  </si>
  <si>
    <t xml:space="preserve"> WBS Hierarchy </t>
  </si>
  <si>
    <t xml:space="preserve"> WBS Validation </t>
  </si>
  <si>
    <t xml:space="preserve"> WBS CRUD </t>
  </si>
  <si>
    <t xml:space="preserve"> Project Entity </t>
  </si>
  <si>
    <t xml:space="preserve"> WBSItemDTO &amp; Port </t>
  </si>
  <si>
    <t>TS-INT-DB-WBS-*</t>
  </si>
  <si>
    <t xml:space="preserve"> BOM Item Entity </t>
  </si>
  <si>
    <t xml:space="preserve"> BOM Validation </t>
  </si>
  <si>
    <t xml:space="preserve"> Lead Time Basic </t>
  </si>
  <si>
    <t xml:space="preserve"> Lead Time Incoterms </t>
  </si>
  <si>
    <t xml:space="preserve"> Lead Time Customs </t>
  </si>
  <si>
    <t xml:space="preserve"> Lead Time Alerts </t>
  </si>
  <si>
    <t xml:space="preserve"> Procurement Plan </t>
  </si>
  <si>
    <t>TS-INT-DB-BOM-*</t>
  </si>
  <si>
    <t xml:space="preserve"> Stakeholder Entity </t>
  </si>
  <si>
    <t xml:space="preserve"> Power/Interest </t>
  </si>
  <si>
    <t xml:space="preserve"> Quadrant Assignment </t>
  </si>
  <si>
    <t xml:space="preserve"> RACI Entry </t>
  </si>
  <si>
    <t xml:space="preserve"> RACI Matrix </t>
  </si>
  <si>
    <t xml:space="preserve"> RACI from Clauses </t>
  </si>
  <si>
    <t xml:space="preserve"> Stakeholder Map </t>
  </si>
  <si>
    <t xml:space="preserve"> Alert Entity </t>
  </si>
  <si>
    <t xml:space="preserve"> Graph Node </t>
  </si>
  <si>
    <t xml:space="preserve"> Graph Relationship </t>
  </si>
  <si>
    <t xml:space="preserve"> Semantic Search </t>
  </si>
  <si>
    <t xml:space="preserve"> Hybrid Search </t>
  </si>
  <si>
    <t xml:space="preserve"> Neo4j Integration </t>
  </si>
  <si>
    <t xml:space="preserve"> WBS → Procurement </t>
  </si>
  <si>
    <t xml:space="preserve"> Documents → Analysis </t>
  </si>
  <si>
    <t xml:space="preserve"> Analysis → Coherence </t>
  </si>
  <si>
    <t xml:space="preserve"> Stakeholders → RACI </t>
  </si>
  <si>
    <t xml:space="preserve"> LLM Integration </t>
  </si>
  <si>
    <t>TS-INT-DB-*</t>
  </si>
  <si>
    <t xml:space="preserve"> All DB Integration </t>
  </si>
  <si>
    <t xml:space="preserve"> Routers </t>
  </si>
  <si>
    <t>TS-UAD-HTTP-MDW--001</t>
  </si>
  <si>
    <t xml:space="preserve"> Middleware </t>
  </si>
  <si>
    <t xml:space="preserve"> Error Handlers </t>
  </si>
  <si>
    <t xml:space="preserve"> Celery Jobs </t>
  </si>
  <si>
    <t xml:space="preserve"> Dead Letter Queue </t>
  </si>
  <si>
    <t xml:space="preserve"> Document Flow </t>
  </si>
  <si>
    <t xml:space="preserve"> Alert Flow </t>
  </si>
  <si>
    <t xml:space="preserve"> Bulk Operations </t>
  </si>
  <si>
    <t xml:space="preserve"> MCP Gateway </t>
  </si>
  <si>
    <t xml:space="preserve"> Timeouts </t>
  </si>
  <si>
    <t xml:space="preserve"> Concurrent </t>
  </si>
  <si>
    <t xml:space="preserve"> Recovery </t>
  </si>
  <si>
    <t xml:space="preserve"> Performance </t>
  </si>
  <si>
    <t>Nombre Test Suite</t>
  </si>
  <si>
    <t xml:space="preserve">Hybrid Search Result </t>
  </si>
  <si>
    <t xml:space="preserve">Validate MCP Operation Use Case </t>
  </si>
  <si>
    <t xml:space="preserve">Anonymize Document Use Case </t>
  </si>
  <si>
    <t xml:space="preserve">Clause Extraction Service </t>
  </si>
  <si>
    <t xml:space="preserve">Entity Extraction Service </t>
  </si>
  <si>
    <t xml:space="preserve">PII Detection Service </t>
  </si>
  <si>
    <t xml:space="preserve">Anonymization Service </t>
  </si>
  <si>
    <t xml:space="preserve">Rate Limit Service </t>
  </si>
  <si>
    <t xml:space="preserve">Budget Tracking Service </t>
  </si>
  <si>
    <t xml:space="preserve">LLM Client Integration </t>
  </si>
  <si>
    <t xml:space="preserve">LLM Fallback Integration </t>
  </si>
  <si>
    <t xml:space="preserve">Neo4j Integration </t>
  </si>
  <si>
    <t xml:space="preserve">Graph Adapters (Neo4j) </t>
  </si>
  <si>
    <t xml:space="preserve">R2 Storage Adapters </t>
  </si>
  <si>
    <t xml:space="preserve">Redis Adapters </t>
  </si>
  <si>
    <t xml:space="preserve">Clause Repository + DB </t>
  </si>
  <si>
    <t xml:space="preserve">WBS Repository + DB </t>
  </si>
  <si>
    <t xml:space="preserve">BOM Repository + DB </t>
  </si>
  <si>
    <t xml:space="preserve">All Repositories </t>
  </si>
  <si>
    <t xml:space="preserve">WBS → Procurement Integration </t>
  </si>
  <si>
    <t xml:space="preserve">Event Bus Publish/Subscribe </t>
  </si>
  <si>
    <t xml:space="preserve">Celery Job Queue </t>
  </si>
  <si>
    <t xml:space="preserve">Dead Letter Queue </t>
  </si>
  <si>
    <t>AGENTE 10: API CONTRACTS                             ║</t>
  </si>
  <si>
    <t xml:space="preserve">AGENTE 8: ASYNC ARCHITECTURE                     </t>
  </si>
  <si>
    <t>AGENTE 1: SECURITY CORE                              ║</t>
  </si>
  <si>
    <t>AGENTE 2: DOCUMENTS DOMAIN</t>
  </si>
  <si>
    <t>AGENTE 6: COHERENCE ENGINE (CRÍTICO)                      ║</t>
  </si>
  <si>
    <t>AGENTE 3: PROJECTS &amp; WBS                             ║</t>
  </si>
  <si>
    <t>AGENTE 4: PROCUREMENT LOGIC                          ║</t>
  </si>
  <si>
    <t>AGENTE 7: STAKEHOLDERS                               ║</t>
  </si>
  <si>
    <t>AGENTE 5: ANALYSIS &amp; GRAPH                           ║</t>
  </si>
  <si>
    <t>AGENTE 9: OBSERVABILITY                              ║</t>
  </si>
  <si>
    <t xml:space="preserve">AGENTE 11: INTEGRATION </t>
  </si>
  <si>
    <t>AGENTE 10: API CONTRACTS</t>
  </si>
  <si>
    <t>AGENTE 12: QA/E2E</t>
  </si>
  <si>
    <t>*</t>
  </si>
  <si>
    <t xml:space="preserve">  │ pending  │  (Created by Analysis Engine)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</si>
</sst>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F1115"/>
      <name val="Quote-cjk-patch"/>
    </font>
    <font>
      <sz val="10"/>
      <color theme="1"/>
      <name val="Arial"/>
      <family val="2"/>
    </font>
    <font>
      <sz val="12"/>
      <color rgb="FF0F1115"/>
      <name val="Quote-cjk-patch"/>
    </font>
    <font>
      <sz val="11"/>
      <color rgb="FFCCCCCC"/>
      <name val="Consolas"/>
      <family val="3"/>
    </font>
    <font>
      <b/>
      <sz val="11"/>
      <color rgb="FF569CD6"/>
      <name val="Consolas"/>
      <family val="3"/>
    </font>
    <font>
      <sz val="11"/>
      <name val="Aptos Narrow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9" fontId="4" fillId="2" borderId="1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9" fontId="4" fillId="0" borderId="1" xfId="0" applyNumberFormat="1" applyFont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9" fontId="4" fillId="5" borderId="1" xfId="0" applyNumberFormat="1" applyFont="1" applyFill="1" applyBorder="1" applyAlignment="1">
      <alignment horizontal="right" wrapText="1"/>
    </xf>
    <xf numFmtId="0" fontId="0" fillId="5" borderId="0" xfId="0" applyFill="1"/>
    <xf numFmtId="0" fontId="1" fillId="0" borderId="0" xfId="0" applyFont="1" applyAlignment="1">
      <alignment horizontal="center" vertical="top"/>
    </xf>
    <xf numFmtId="0" fontId="7" fillId="4" borderId="0" xfId="0" applyFont="1" applyFill="1"/>
    <xf numFmtId="0" fontId="8" fillId="4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" fillId="0" borderId="4" xfId="0" applyFont="1" applyBorder="1" applyAlignment="1">
      <alignment horizontal="center" vertical="top"/>
    </xf>
    <xf numFmtId="0" fontId="4" fillId="2" borderId="0" xfId="0" applyFont="1" applyFill="1" applyAlignment="1">
      <alignment wrapText="1"/>
    </xf>
    <xf numFmtId="0" fontId="0" fillId="0" borderId="1" xfId="0" applyBorder="1"/>
    <xf numFmtId="0" fontId="8" fillId="4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4" fillId="8" borderId="0" xfId="0" applyFont="1" applyFill="1" applyAlignment="1">
      <alignment wrapText="1"/>
    </xf>
    <xf numFmtId="0" fontId="4" fillId="8" borderId="1" xfId="0" applyFont="1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vertical="center"/>
    </xf>
    <xf numFmtId="0" fontId="7" fillId="5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5" borderId="0" xfId="0" applyFont="1" applyFill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0" fillId="7" borderId="0" xfId="0" applyFill="1"/>
    <xf numFmtId="0" fontId="8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508309-80E5-449E-A8A1-A8A63C5DB5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us_\Documents\AI\ZTWQ\c2pro\tests\C2Pro_Test_Suites_Master.xlsx" TargetMode="External"/><Relationship Id="rId1" Type="http://schemas.openxmlformats.org/officeDocument/2006/relationships/externalLinkPath" Target="C2Pro_Test_Suites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ite Test"/>
      <sheetName val="Promts"/>
      <sheetName val="Unit Test"/>
      <sheetName val="Hoja4"/>
      <sheetName val="Hoja2"/>
      <sheetName val="Agentes"/>
      <sheetName val="promt"/>
      <sheetName val="plan test"/>
      <sheetName val="lista frontend"/>
      <sheetName val="Hoja1"/>
      <sheetName val="Prmot frontend"/>
      <sheetName val="lista IA "/>
      <sheetName val="prmot llm"/>
      <sheetName val="Hoja3"/>
      <sheetName val="FrontEND 2"/>
      <sheetName val="LangGraph"/>
    </sheetNames>
    <sheetDataSet>
      <sheetData sheetId="0"/>
      <sheetData sheetId="1"/>
      <sheetData sheetId="2">
        <row r="1">
          <cell r="A1" t="str">
            <v>ID</v>
          </cell>
          <cell r="B1" t="str">
            <v>Layer/Category</v>
          </cell>
          <cell r="C1" t="str">
            <v>Test Case Name</v>
          </cell>
          <cell r="F1" t="str">
            <v>COMPONENT NAME</v>
          </cell>
          <cell r="G1" t="str">
            <v>llm</v>
          </cell>
          <cell r="H1" t="str">
            <v>estado</v>
          </cell>
          <cell r="I1" t="str">
            <v>test</v>
          </cell>
          <cell r="J1" t="str">
            <v>DEV</v>
          </cell>
        </row>
        <row r="2">
          <cell r="A2" t="str">
            <v>TS-UC-SEC-MCP-001</v>
          </cell>
          <cell r="B2" t="str">
            <v>CORE</v>
          </cell>
          <cell r="C2" t="str">
            <v>test_001_view_operation_projects_summary_allowed</v>
          </cell>
          <cell r="F2" t="str">
            <v>MCP Gateway Allowlist Validation</v>
          </cell>
          <cell r="G2" t="str">
            <v>gemini</v>
          </cell>
          <cell r="H2" t="str">
            <v>done</v>
          </cell>
          <cell r="I2" t="str">
            <v>apps/api/tests/modules/mcp/adapters/.</v>
          </cell>
          <cell r="J2" t="str">
            <v>codex</v>
          </cell>
        </row>
        <row r="3">
          <cell r="A3" t="str">
            <v>TS-UC-SEC-MCP-001</v>
          </cell>
          <cell r="B3" t="str">
            <v>CORE</v>
          </cell>
          <cell r="C3" t="str">
            <v>test_002_view_operation_alerts_active_allowed</v>
          </cell>
          <cell r="F3" t="str">
            <v>MCP Gateway Allowlist Validation</v>
          </cell>
          <cell r="G3" t="str">
            <v>gemini</v>
          </cell>
          <cell r="H3" t="str">
            <v>done</v>
          </cell>
          <cell r="I3" t="str">
            <v>apps/api/tests/modules/mcp/adapters/.</v>
          </cell>
          <cell r="J3" t="str">
            <v>codex</v>
          </cell>
        </row>
        <row r="4">
          <cell r="A4" t="str">
            <v>TS-UC-SEC-MCP-001</v>
          </cell>
          <cell r="B4" t="str">
            <v>CORE</v>
          </cell>
          <cell r="C4" t="str">
            <v>test_003_view_operation_coherence_latest_allowed</v>
          </cell>
          <cell r="F4" t="str">
            <v>MCP Gateway Allowlist Validation</v>
          </cell>
          <cell r="G4" t="str">
            <v>gemini</v>
          </cell>
          <cell r="H4" t="str">
            <v>done</v>
          </cell>
          <cell r="I4" t="str">
            <v>apps/api/tests/modules/mcp/adapters/.</v>
          </cell>
          <cell r="J4" t="str">
            <v>codex</v>
          </cell>
        </row>
        <row r="5">
          <cell r="A5" t="str">
            <v>TS-UC-SEC-MCP-001</v>
          </cell>
          <cell r="B5" t="str">
            <v>CORE</v>
          </cell>
          <cell r="C5" t="str">
            <v>test_004_view_operation_documents_metadata_allowed</v>
          </cell>
          <cell r="F5" t="str">
            <v>MCP Gateway Allowlist Validation</v>
          </cell>
          <cell r="G5" t="str">
            <v>gemini</v>
          </cell>
          <cell r="H5" t="str">
            <v>done</v>
          </cell>
          <cell r="I5" t="str">
            <v>apps/api/tests/modules/mcp/adapters/.</v>
          </cell>
          <cell r="J5" t="str">
            <v>codex</v>
          </cell>
        </row>
        <row r="6">
          <cell r="A6" t="str">
            <v>TS-UC-SEC-MCP-001</v>
          </cell>
          <cell r="B6" t="str">
            <v>CORE</v>
          </cell>
          <cell r="C6" t="str">
            <v>test_005_view_operation_stakeholders_list_allowed</v>
          </cell>
          <cell r="F6" t="str">
            <v>MCP Gateway Allowlist Validation</v>
          </cell>
          <cell r="G6" t="str">
            <v>gemini</v>
          </cell>
          <cell r="H6" t="str">
            <v>done</v>
          </cell>
          <cell r="I6" t="str">
            <v>apps/api/tests/modules/mcp/adapters/.</v>
          </cell>
          <cell r="J6" t="str">
            <v>codex</v>
          </cell>
        </row>
        <row r="7">
          <cell r="A7" t="str">
            <v>TS-UC-SEC-MCP-001</v>
          </cell>
          <cell r="B7" t="str">
            <v>CORE</v>
          </cell>
          <cell r="C7" t="str">
            <v>test_006_view_operation_wbs_structure_allowed</v>
          </cell>
          <cell r="F7" t="str">
            <v>MCP Gateway Allowlist Validation</v>
          </cell>
          <cell r="G7" t="str">
            <v>gemini</v>
          </cell>
          <cell r="H7" t="str">
            <v>done</v>
          </cell>
          <cell r="I7" t="str">
            <v>apps/api/tests/modules/mcp/adapters/.</v>
          </cell>
          <cell r="J7" t="str">
            <v>codex</v>
          </cell>
        </row>
        <row r="8">
          <cell r="A8" t="str">
            <v>TS-UC-SEC-MCP-001</v>
          </cell>
          <cell r="B8" t="str">
            <v>CORE</v>
          </cell>
          <cell r="C8" t="str">
            <v>test_007_view_operation_bom_items_allowed</v>
          </cell>
          <cell r="F8" t="str">
            <v>MCP Gateway Allowlist Validation</v>
          </cell>
          <cell r="G8" t="str">
            <v>gemini</v>
          </cell>
          <cell r="H8" t="str">
            <v>done</v>
          </cell>
          <cell r="I8" t="str">
            <v>apps/api/tests/modules/mcp/adapters/.</v>
          </cell>
          <cell r="J8" t="str">
            <v>codex</v>
          </cell>
        </row>
        <row r="9">
          <cell r="A9" t="str">
            <v>TS-UC-SEC-MCP-001</v>
          </cell>
          <cell r="B9" t="str">
            <v>CORE</v>
          </cell>
          <cell r="C9" t="str">
            <v>test_008_view_operation_audit_recent_allowed</v>
          </cell>
          <cell r="F9" t="str">
            <v>MCP Gateway Allowlist Validation</v>
          </cell>
          <cell r="G9" t="str">
            <v>gemini</v>
          </cell>
          <cell r="H9" t="str">
            <v>done</v>
          </cell>
          <cell r="I9" t="str">
            <v>apps/api/tests/modules/mcp/adapters/.</v>
          </cell>
          <cell r="J9" t="str">
            <v>codex</v>
          </cell>
        </row>
        <row r="10">
          <cell r="A10" t="str">
            <v>TS-UC-SEC-MCP-001</v>
          </cell>
          <cell r="B10" t="str">
            <v>CORE</v>
          </cell>
          <cell r="C10" t="str">
            <v>test_009_function_operation_create_alert_allowed</v>
          </cell>
          <cell r="F10" t="str">
            <v>MCP Gateway Allowlist Validation</v>
          </cell>
          <cell r="G10" t="str">
            <v>gemini</v>
          </cell>
          <cell r="H10" t="str">
            <v>done</v>
          </cell>
          <cell r="I10" t="str">
            <v>apps/api/tests/modules/mcp/adapters/.</v>
          </cell>
          <cell r="J10" t="str">
            <v>codex</v>
          </cell>
        </row>
        <row r="11">
          <cell r="A11" t="str">
            <v>TS-UC-SEC-MCP-001</v>
          </cell>
          <cell r="B11" t="str">
            <v>CORE</v>
          </cell>
          <cell r="C11" t="str">
            <v>test_010_function_operation_update_score_allowed</v>
          </cell>
          <cell r="F11" t="str">
            <v>MCP Gateway Allowlist Validation</v>
          </cell>
          <cell r="G11" t="str">
            <v>gemini</v>
          </cell>
          <cell r="H11" t="str">
            <v>done</v>
          </cell>
          <cell r="I11" t="str">
            <v>apps/api/tests/modules/mcp/adapters/.</v>
          </cell>
          <cell r="J11" t="str">
            <v>codex</v>
          </cell>
        </row>
        <row r="12">
          <cell r="A12" t="str">
            <v>TS-UC-SEC-MCP-001</v>
          </cell>
          <cell r="B12" t="str">
            <v>CORE</v>
          </cell>
          <cell r="C12" t="str">
            <v>test_011_function_operation_flag_review_allowed</v>
          </cell>
          <cell r="F12" t="str">
            <v>MCP Gateway Allowlist Validation</v>
          </cell>
          <cell r="G12" t="str">
            <v>gemini</v>
          </cell>
          <cell r="H12" t="str">
            <v>done</v>
          </cell>
          <cell r="I12" t="str">
            <v>apps/api/tests/modules/mcp/adapters/.</v>
          </cell>
          <cell r="J12" t="str">
            <v>codex</v>
          </cell>
        </row>
        <row r="13">
          <cell r="A13" t="str">
            <v>TS-UC-SEC-MCP-001</v>
          </cell>
          <cell r="B13" t="str">
            <v>CORE</v>
          </cell>
          <cell r="C13" t="str">
            <v>test_012_function_operation_add_note_allowed</v>
          </cell>
          <cell r="F13" t="str">
            <v>MCP Gateway Allowlist Validation</v>
          </cell>
          <cell r="G13" t="str">
            <v>gemini</v>
          </cell>
          <cell r="H13" t="str">
            <v>done</v>
          </cell>
          <cell r="I13" t="str">
            <v>apps/api/tests/modules/mcp/adapters/.</v>
          </cell>
          <cell r="J13" t="str">
            <v>codex</v>
          </cell>
        </row>
        <row r="14">
          <cell r="A14" t="str">
            <v>TS-UC-SEC-MCP-001</v>
          </cell>
          <cell r="B14" t="str">
            <v>CORE</v>
          </cell>
          <cell r="C14" t="str">
            <v>test_013_function_operation_trigger_recalc_allowed</v>
          </cell>
          <cell r="F14" t="str">
            <v>MCP Gateway Allowlist Validation</v>
          </cell>
          <cell r="G14" t="str">
            <v>gemini</v>
          </cell>
          <cell r="H14" t="str">
            <v>done</v>
          </cell>
          <cell r="I14" t="str">
            <v>apps/api/tests/modules/mcp/adapters/.</v>
          </cell>
          <cell r="J14" t="str">
            <v>codex</v>
          </cell>
        </row>
        <row r="15">
          <cell r="A15" t="str">
            <v>TS-UC-SEC-MCP-001</v>
          </cell>
          <cell r="B15" t="str">
            <v>CORE</v>
          </cell>
          <cell r="C15" t="str">
            <v>test_014_unknown_operation_blocked</v>
          </cell>
          <cell r="F15" t="str">
            <v>MCP Gateway Allowlist Validation</v>
          </cell>
          <cell r="G15" t="str">
            <v>gemini</v>
          </cell>
          <cell r="H15" t="str">
            <v>done</v>
          </cell>
          <cell r="I15" t="str">
            <v>apps/api/tests/modules/mcp/adapters/.</v>
          </cell>
          <cell r="J15" t="str">
            <v>codex</v>
          </cell>
        </row>
        <row r="16">
          <cell r="A16" t="str">
            <v>TS-UC-SEC-MCP-001</v>
          </cell>
          <cell r="B16" t="str">
            <v>CORE</v>
          </cell>
          <cell r="C16" t="str">
            <v>test_015_destructive_operation_delete_all_blocked</v>
          </cell>
          <cell r="F16" t="str">
            <v>MCP Gateway Allowlist Validation</v>
          </cell>
          <cell r="G16" t="str">
            <v>gemini</v>
          </cell>
          <cell r="H16" t="str">
            <v>done</v>
          </cell>
          <cell r="I16" t="str">
            <v>apps/api/tests/modules/mcp/adapters/.</v>
          </cell>
          <cell r="J16" t="str">
            <v>codex</v>
          </cell>
        </row>
        <row r="17">
          <cell r="A17" t="str">
            <v>TS-UC-SEC-MCP-001</v>
          </cell>
          <cell r="B17" t="str">
            <v>CORE</v>
          </cell>
          <cell r="C17" t="str">
            <v>test_016_destructive_operation_drop_table_blocked</v>
          </cell>
          <cell r="F17" t="str">
            <v>MCP Gateway Allowlist Validation</v>
          </cell>
          <cell r="G17" t="str">
            <v>gemini</v>
          </cell>
          <cell r="H17" t="str">
            <v>done</v>
          </cell>
          <cell r="I17" t="str">
            <v>apps/api/tests/modules/mcp/adapters/.</v>
          </cell>
          <cell r="J17" t="str">
            <v>codex</v>
          </cell>
        </row>
        <row r="18">
          <cell r="A18" t="str">
            <v>TS-UC-SEC-MCP-001</v>
          </cell>
          <cell r="B18" t="str">
            <v>CORE</v>
          </cell>
          <cell r="C18" t="str">
            <v>test_017_tenant_extended_allowlist_custom_operation</v>
          </cell>
          <cell r="F18" t="str">
            <v>MCP Gateway Allowlist Validation</v>
          </cell>
          <cell r="G18" t="str">
            <v>gemini</v>
          </cell>
          <cell r="H18" t="str">
            <v>done</v>
          </cell>
          <cell r="I18" t="str">
            <v>apps/api/tests/modules/mcp/adapters/.</v>
          </cell>
          <cell r="J18" t="str">
            <v>codex</v>
          </cell>
        </row>
        <row r="19">
          <cell r="A19" t="str">
            <v>TS-UC-SEC-MCP-001</v>
          </cell>
          <cell r="B19" t="str">
            <v>CORE</v>
          </cell>
          <cell r="C19" t="str">
            <v>test_018_tenant_restricted_allowlist_blocked</v>
          </cell>
          <cell r="F19" t="str">
            <v>MCP Gateway Allowlist Validation</v>
          </cell>
          <cell r="G19" t="str">
            <v>gemini</v>
          </cell>
          <cell r="H19" t="str">
            <v>done</v>
          </cell>
          <cell r="I19" t="str">
            <v>apps/api/tests/modules/mcp/adapters/.</v>
          </cell>
          <cell r="J19" t="str">
            <v>codex</v>
          </cell>
        </row>
        <row r="20">
          <cell r="A20" t="str">
            <v>TS-UC-SEC-MCP-001</v>
          </cell>
          <cell r="B20" t="str">
            <v>CORE</v>
          </cell>
          <cell r="C20" t="str">
            <v>test_edge_001_empty_operation_name</v>
          </cell>
          <cell r="F20" t="str">
            <v>MCP Gateway Allowlist Validation</v>
          </cell>
          <cell r="G20" t="str">
            <v>gemini</v>
          </cell>
          <cell r="H20" t="str">
            <v>done</v>
          </cell>
          <cell r="I20" t="str">
            <v>apps/api/tests/modules/mcp/adapters/.</v>
          </cell>
          <cell r="J20" t="str">
            <v>codex</v>
          </cell>
        </row>
        <row r="21">
          <cell r="A21" t="str">
            <v>TS-UC-SEC-MCP-001</v>
          </cell>
          <cell r="B21" t="str">
            <v>CORE</v>
          </cell>
          <cell r="C21" t="str">
            <v>test_edge_002_null_tenant_id</v>
          </cell>
          <cell r="F21" t="str">
            <v>MCP Gateway Allowlist Validation</v>
          </cell>
          <cell r="G21" t="str">
            <v>gemini</v>
          </cell>
          <cell r="H21" t="str">
            <v>done</v>
          </cell>
          <cell r="I21" t="str">
            <v>apps/api/tests/modules/mcp/adapters/.</v>
          </cell>
          <cell r="J21" t="str">
            <v>codex</v>
          </cell>
        </row>
        <row r="22">
          <cell r="A22" t="str">
            <v>TS-UC-SEC-MCP-001</v>
          </cell>
          <cell r="B22" t="str">
            <v>CORE</v>
          </cell>
          <cell r="C22" t="str">
            <v>test_edge_003_case_insensitive_operation</v>
          </cell>
          <cell r="F22" t="str">
            <v>MCP Gateway Allowlist Validation</v>
          </cell>
          <cell r="G22" t="str">
            <v>gemini</v>
          </cell>
          <cell r="H22" t="str">
            <v>done</v>
          </cell>
          <cell r="I22" t="str">
            <v>apps/api/tests/modules/mcp/adapters/.</v>
          </cell>
          <cell r="J22" t="str">
            <v>codex</v>
          </cell>
        </row>
        <row r="23">
          <cell r="A23" t="str">
            <v>TS-UC-SEC-MCP-001</v>
          </cell>
          <cell r="B23" t="str">
            <v>CORE</v>
          </cell>
          <cell r="C23" t="str">
            <v>test_edge_004_whitespace_in_operation</v>
          </cell>
          <cell r="F23" t="str">
            <v>MCP Gateway Allowlist Validation</v>
          </cell>
          <cell r="G23" t="str">
            <v>gemini</v>
          </cell>
          <cell r="H23" t="str">
            <v>done</v>
          </cell>
          <cell r="I23" t="str">
            <v>apps/api/tests/modules/mcp/adapters/.</v>
          </cell>
          <cell r="J23" t="str">
            <v>codex</v>
          </cell>
        </row>
        <row r="24">
          <cell r="A24" t="str">
            <v>TS-UC-SEC-MCP-002</v>
          </cell>
          <cell r="B24" t="str">
            <v>CORE</v>
          </cell>
          <cell r="C24" t="str">
            <v>test_001_request_under_limit_allowed</v>
          </cell>
          <cell r="F24" t="str">
            <v>MCP Gateway Rate Limiting</v>
          </cell>
          <cell r="G24" t="str">
            <v>gemini</v>
          </cell>
          <cell r="H24" t="str">
            <v>done</v>
          </cell>
          <cell r="I24" t="str">
            <v>apps/api/tests/modules/mcp/adapters/.</v>
          </cell>
          <cell r="J24" t="str">
            <v>codex</v>
          </cell>
        </row>
        <row r="25">
          <cell r="A25" t="str">
            <v>TS-UC-SEC-MCP-002</v>
          </cell>
          <cell r="B25" t="str">
            <v>CORE</v>
          </cell>
          <cell r="C25" t="str">
            <v>test_002_request_at_limit_59_allowed</v>
          </cell>
          <cell r="F25" t="str">
            <v>MCP Gateway Rate Limiting</v>
          </cell>
          <cell r="G25" t="str">
            <v>gemini</v>
          </cell>
          <cell r="H25" t="str">
            <v>done</v>
          </cell>
          <cell r="I25" t="str">
            <v>apps/api/tests/modules/mcp/adapters/.</v>
          </cell>
          <cell r="J25" t="str">
            <v>codex</v>
          </cell>
        </row>
        <row r="26">
          <cell r="A26" t="str">
            <v>TS-UC-SEC-MCP-002</v>
          </cell>
          <cell r="B26" t="str">
            <v>CORE</v>
          </cell>
          <cell r="C26" t="str">
            <v>test_003_request_at_limit_60_allowed</v>
          </cell>
          <cell r="F26" t="str">
            <v>MCP Gateway Rate Limiting</v>
          </cell>
          <cell r="G26" t="str">
            <v>gemini</v>
          </cell>
          <cell r="H26" t="str">
            <v>done</v>
          </cell>
          <cell r="I26" t="str">
            <v>apps/api/tests/modules/mcp/adapters/.</v>
          </cell>
          <cell r="J26" t="str">
            <v>codex</v>
          </cell>
        </row>
        <row r="27">
          <cell r="A27" t="str">
            <v>TS-UC-SEC-MCP-002</v>
          </cell>
          <cell r="B27" t="str">
            <v>CORE</v>
          </cell>
          <cell r="C27" t="str">
            <v>test_004_request_over_limit_61_blocked</v>
          </cell>
          <cell r="F27" t="str">
            <v>MCP Gateway Rate Limiting</v>
          </cell>
          <cell r="G27" t="str">
            <v>gemini</v>
          </cell>
          <cell r="H27" t="str">
            <v>done</v>
          </cell>
          <cell r="I27" t="str">
            <v>apps/api/tests/modules/mcp/adapters/.</v>
          </cell>
          <cell r="J27" t="str">
            <v>codex</v>
          </cell>
        </row>
        <row r="28">
          <cell r="A28" t="str">
            <v>TS-UC-SEC-MCP-002</v>
          </cell>
          <cell r="B28" t="str">
            <v>CORE</v>
          </cell>
          <cell r="C28" t="str">
            <v>test_005_request_over_limit_100_blocked</v>
          </cell>
          <cell r="F28" t="str">
            <v>MCP Gateway Rate Limiting</v>
          </cell>
          <cell r="G28" t="str">
            <v>gemini</v>
          </cell>
          <cell r="H28" t="str">
            <v>done</v>
          </cell>
          <cell r="I28" t="str">
            <v>apps/api/tests/modules/mcp/adapters/.</v>
          </cell>
          <cell r="J28" t="str">
            <v>codex</v>
          </cell>
        </row>
        <row r="29">
          <cell r="A29" t="str">
            <v>TS-UC-SEC-MCP-002</v>
          </cell>
          <cell r="B29" t="str">
            <v>CORE</v>
          </cell>
          <cell r="C29" t="str">
            <v>test_006_window_reset_after_60_seconds</v>
          </cell>
          <cell r="F29" t="str">
            <v>MCP Gateway Rate Limiting</v>
          </cell>
          <cell r="G29" t="str">
            <v>gemini</v>
          </cell>
          <cell r="H29" t="str">
            <v>done</v>
          </cell>
          <cell r="I29" t="str">
            <v>apps/api/tests/modules/mcp/adapters/.</v>
          </cell>
          <cell r="J29" t="str">
            <v>codex</v>
          </cell>
        </row>
        <row r="30">
          <cell r="A30" t="str">
            <v>TS-UC-SEC-MCP-002</v>
          </cell>
          <cell r="B30" t="str">
            <v>CORE</v>
          </cell>
          <cell r="C30" t="str">
            <v>test_007_tenant_isolation_separate_counters</v>
          </cell>
          <cell r="F30" t="str">
            <v>MCP Gateway Rate Limiting</v>
          </cell>
          <cell r="G30" t="str">
            <v>gemini</v>
          </cell>
          <cell r="H30" t="str">
            <v>done</v>
          </cell>
          <cell r="I30" t="str">
            <v>apps/api/tests/modules/mcp/adapters/.</v>
          </cell>
          <cell r="J30" t="str">
            <v>codex</v>
          </cell>
        </row>
        <row r="31">
          <cell r="A31" t="str">
            <v>TS-UC-SEC-MCP-002</v>
          </cell>
          <cell r="B31" t="str">
            <v>CORE</v>
          </cell>
          <cell r="C31" t="str">
            <v>test_008_tenant_a_full_tenant_b_available</v>
          </cell>
          <cell r="F31" t="str">
            <v>MCP Gateway Rate Limiting</v>
          </cell>
          <cell r="G31" t="str">
            <v>gemini</v>
          </cell>
          <cell r="H31" t="str">
            <v>done</v>
          </cell>
          <cell r="I31" t="str">
            <v>apps/api/tests/modules/mcp/adapters/.</v>
          </cell>
          <cell r="J31" t="str">
            <v>codex</v>
          </cell>
        </row>
        <row r="32">
          <cell r="A32" t="str">
            <v>TS-UC-SEC-MCP-002</v>
          </cell>
          <cell r="B32" t="str">
            <v>CORE</v>
          </cell>
          <cell r="C32" t="str">
            <v>test_009_sliding_window_calculation</v>
          </cell>
          <cell r="F32" t="str">
            <v>MCP Gateway Rate Limiting</v>
          </cell>
          <cell r="G32" t="str">
            <v>gemini</v>
          </cell>
          <cell r="H32" t="str">
            <v>done</v>
          </cell>
          <cell r="I32" t="str">
            <v>apps/api/tests/modules/mcp/adapters/.</v>
          </cell>
          <cell r="J32" t="str">
            <v>codex</v>
          </cell>
        </row>
        <row r="33">
          <cell r="A33" t="str">
            <v>TS-UC-SEC-MCP-002</v>
          </cell>
          <cell r="B33" t="str">
            <v>CORE</v>
          </cell>
          <cell r="C33" t="str">
            <v>test_010_rate_limit_result_retry_after_header</v>
          </cell>
          <cell r="F33" t="str">
            <v>MCP Gateway Rate Limiting</v>
          </cell>
          <cell r="G33" t="str">
            <v>gemini</v>
          </cell>
          <cell r="H33" t="str">
            <v>done</v>
          </cell>
          <cell r="I33" t="str">
            <v>apps/api/tests/modules/mcp/adapters/.</v>
          </cell>
          <cell r="J33" t="str">
            <v>codex</v>
          </cell>
        </row>
        <row r="34">
          <cell r="A34" t="str">
            <v>TS-UC-SEC-MCP-002</v>
          </cell>
          <cell r="B34" t="str">
            <v>CORE</v>
          </cell>
          <cell r="C34" t="str">
            <v>test_011_rate_limit_audit_log_on_block</v>
          </cell>
          <cell r="F34" t="str">
            <v>MCP Gateway Rate Limiting</v>
          </cell>
          <cell r="G34" t="str">
            <v>gemini</v>
          </cell>
          <cell r="H34" t="str">
            <v>done</v>
          </cell>
          <cell r="I34" t="str">
            <v>apps/api/tests/modules/mcp/adapters/.</v>
          </cell>
          <cell r="J34" t="str">
            <v>codex</v>
          </cell>
        </row>
        <row r="35">
          <cell r="A35" t="str">
            <v>TS-UC-SEC-MCP-002</v>
          </cell>
          <cell r="B35" t="str">
            <v>CORE</v>
          </cell>
          <cell r="C35" t="str">
            <v>test_012_rate_limit_warning_at_80_percent</v>
          </cell>
          <cell r="F35" t="str">
            <v>MCP Gateway Rate Limiting</v>
          </cell>
          <cell r="G35" t="str">
            <v>gemini</v>
          </cell>
          <cell r="H35" t="str">
            <v>done</v>
          </cell>
          <cell r="I35" t="str">
            <v>apps/api/tests/modules/mcp/adapters/.</v>
          </cell>
          <cell r="J35" t="str">
            <v>codex</v>
          </cell>
        </row>
        <row r="36">
          <cell r="A36" t="str">
            <v>TS-UC-SEC-MCP-002</v>
          </cell>
          <cell r="B36" t="str">
            <v>CORE</v>
          </cell>
          <cell r="C36" t="str">
            <v>test_013_concurrent_requests_race_condition</v>
          </cell>
          <cell r="F36" t="str">
            <v>MCP Gateway Rate Limiting</v>
          </cell>
          <cell r="G36" t="str">
            <v>gemini</v>
          </cell>
          <cell r="H36" t="str">
            <v>done</v>
          </cell>
          <cell r="I36" t="str">
            <v>apps/api/tests/modules/mcp/adapters/.</v>
          </cell>
          <cell r="J36" t="str">
            <v>codex</v>
          </cell>
        </row>
        <row r="37">
          <cell r="A37" t="str">
            <v>TS-UC-SEC-MCP-002</v>
          </cell>
          <cell r="B37" t="str">
            <v>CORE</v>
          </cell>
          <cell r="C37" t="str">
            <v>test_014_rate_limit_reset_at_midnight</v>
          </cell>
          <cell r="F37" t="str">
            <v>MCP Gateway Rate Limiting</v>
          </cell>
          <cell r="G37" t="str">
            <v>gemini</v>
          </cell>
          <cell r="H37" t="str">
            <v>done</v>
          </cell>
          <cell r="I37" t="str">
            <v>apps/api/tests/modules/mcp/adapters/.</v>
          </cell>
          <cell r="J37" t="str">
            <v>codex</v>
          </cell>
        </row>
        <row r="38">
          <cell r="A38" t="str">
            <v>TS-UC-SEC-MCP-002</v>
          </cell>
          <cell r="B38" t="str">
            <v>CORE</v>
          </cell>
          <cell r="C38" t="str">
            <v>test_edge_001_burst_59_requests_simultaneous</v>
          </cell>
          <cell r="F38" t="str">
            <v>MCP Gateway Rate Limiting</v>
          </cell>
          <cell r="G38" t="str">
            <v>gemini</v>
          </cell>
          <cell r="H38" t="str">
            <v>done</v>
          </cell>
          <cell r="I38" t="str">
            <v>apps/api/tests/modules/mcp/adapters/.</v>
          </cell>
          <cell r="J38" t="str">
            <v>codex</v>
          </cell>
        </row>
        <row r="39">
          <cell r="A39" t="str">
            <v>TS-UC-SEC-MCP-002</v>
          </cell>
          <cell r="B39" t="str">
            <v>CORE</v>
          </cell>
          <cell r="C39" t="str">
            <v>test_edge_002_exactly_60_second_boundary</v>
          </cell>
          <cell r="F39" t="str">
            <v>MCP Gateway Rate Limiting</v>
          </cell>
          <cell r="G39" t="str">
            <v>gemini</v>
          </cell>
          <cell r="H39" t="str">
            <v>done</v>
          </cell>
          <cell r="I39" t="str">
            <v>apps/api/tests/modules/mcp/adapters/.</v>
          </cell>
          <cell r="J39" t="str">
            <v>codex</v>
          </cell>
        </row>
        <row r="40">
          <cell r="A40" t="str">
            <v>TS-UC-SEC-MCP-002</v>
          </cell>
          <cell r="B40" t="str">
            <v>CORE</v>
          </cell>
          <cell r="C40" t="str">
            <v>test_edge_003_clock_skew_handling</v>
          </cell>
          <cell r="F40" t="str">
            <v>MCP Gateway Rate Limiting</v>
          </cell>
          <cell r="G40" t="str">
            <v>gemini</v>
          </cell>
          <cell r="H40" t="str">
            <v>done</v>
          </cell>
          <cell r="I40" t="str">
            <v>apps/api/tests/modules/mcp/adapters/.</v>
          </cell>
          <cell r="J40" t="str">
            <v>codex</v>
          </cell>
        </row>
        <row r="41">
          <cell r="A41" t="str">
            <v>TS-UC-SEC-MCP-003</v>
          </cell>
          <cell r="B41" t="str">
            <v>CORE</v>
          </cell>
          <cell r="C41" t="str">
            <v>test_001_query_under_5s_allowed</v>
          </cell>
          <cell r="F41" t="str">
            <v>MCP Gateway Query Limits</v>
          </cell>
          <cell r="G41" t="str">
            <v>gemini</v>
          </cell>
          <cell r="H41" t="str">
            <v>done</v>
          </cell>
          <cell r="I41" t="str">
            <v>apps/api/tests/modules/mcp/adapters/</v>
          </cell>
          <cell r="J41" t="str">
            <v>codex</v>
          </cell>
        </row>
        <row r="42">
          <cell r="A42" t="str">
            <v>TS-UC-SEC-MCP-003</v>
          </cell>
          <cell r="B42" t="str">
            <v>CORE</v>
          </cell>
          <cell r="C42" t="str">
            <v>test_002_query_at_5s_allowed</v>
          </cell>
          <cell r="F42" t="str">
            <v>MCP Gateway Query Limits</v>
          </cell>
          <cell r="G42" t="str">
            <v>gemini</v>
          </cell>
          <cell r="H42" t="str">
            <v>done</v>
          </cell>
          <cell r="I42" t="str">
            <v>apps/api/tests/modules/mcp/adapters/</v>
          </cell>
          <cell r="J42" t="str">
            <v>codex</v>
          </cell>
        </row>
        <row r="43">
          <cell r="A43" t="str">
            <v>TS-UC-SEC-MCP-003</v>
          </cell>
          <cell r="B43" t="str">
            <v>CORE</v>
          </cell>
          <cell r="C43" t="str">
            <v>test_003_query_over_5s_timeout_cancelled</v>
          </cell>
          <cell r="F43" t="str">
            <v>MCP Gateway Query Limits</v>
          </cell>
          <cell r="G43" t="str">
            <v>gemini</v>
          </cell>
          <cell r="H43" t="str">
            <v>done</v>
          </cell>
          <cell r="I43" t="str">
            <v>apps/api/tests/modules/mcp/adapters/</v>
          </cell>
          <cell r="J43" t="str">
            <v>codex</v>
          </cell>
        </row>
        <row r="44">
          <cell r="A44" t="str">
            <v>TS-UC-SEC-MCP-003</v>
          </cell>
          <cell r="B44" t="str">
            <v>CORE</v>
          </cell>
          <cell r="C44" t="str">
            <v>test_004_query_result_under_1000_rows_allowed</v>
          </cell>
          <cell r="F44" t="str">
            <v>MCP Gateway Query Limits</v>
          </cell>
          <cell r="G44" t="str">
            <v>gemini</v>
          </cell>
          <cell r="H44" t="str">
            <v>done</v>
          </cell>
          <cell r="I44" t="str">
            <v>apps/api/tests/modules/mcp/adapters/</v>
          </cell>
          <cell r="J44" t="str">
            <v>codex</v>
          </cell>
        </row>
        <row r="45">
          <cell r="A45" t="str">
            <v>TS-UC-SEC-MCP-003</v>
          </cell>
          <cell r="B45" t="str">
            <v>CORE</v>
          </cell>
          <cell r="C45" t="str">
            <v>test_005_query_result_at_1000_rows_allowed</v>
          </cell>
          <cell r="F45" t="str">
            <v>MCP Gateway Query Limits</v>
          </cell>
          <cell r="G45" t="str">
            <v>gemini</v>
          </cell>
          <cell r="H45" t="str">
            <v>done</v>
          </cell>
          <cell r="I45" t="str">
            <v>apps/api/tests/modules/mcp/adapters/</v>
          </cell>
          <cell r="J45" t="str">
            <v>codex</v>
          </cell>
        </row>
        <row r="46">
          <cell r="A46" t="str">
            <v>TS-UC-SEC-MCP-003</v>
          </cell>
          <cell r="B46" t="str">
            <v>CORE</v>
          </cell>
          <cell r="C46" t="str">
            <v>test_006_query_result_over_1000_rows_truncated</v>
          </cell>
          <cell r="F46" t="str">
            <v>MCP Gateway Query Limits</v>
          </cell>
          <cell r="G46" t="str">
            <v>gemini</v>
          </cell>
          <cell r="H46" t="str">
            <v>done</v>
          </cell>
          <cell r="I46" t="str">
            <v>apps/api/tests/modules/mcp/adapters/</v>
          </cell>
          <cell r="J46" t="str">
            <v>codex</v>
          </cell>
        </row>
        <row r="47">
          <cell r="A47" t="str">
            <v>TS-UC-SEC-MCP-003</v>
          </cell>
          <cell r="B47" t="str">
            <v>CORE</v>
          </cell>
          <cell r="C47" t="str">
            <v>test_007_query_result_truncated_flag_set</v>
          </cell>
          <cell r="F47" t="str">
            <v>MCP Gateway Query Limits</v>
          </cell>
          <cell r="G47" t="str">
            <v>gemini</v>
          </cell>
          <cell r="H47" t="str">
            <v>done</v>
          </cell>
          <cell r="I47" t="str">
            <v>apps/api/tests/modules/mcp/adapters/</v>
          </cell>
          <cell r="J47" t="str">
            <v>codex</v>
          </cell>
        </row>
        <row r="48">
          <cell r="A48" t="str">
            <v>TS-UC-SEC-MCP-003</v>
          </cell>
          <cell r="B48" t="str">
            <v>CORE</v>
          </cell>
          <cell r="C48" t="str">
            <v>test_008_timeout_returns_partial_results</v>
          </cell>
          <cell r="F48" t="str">
            <v>MCP Gateway Query Limits</v>
          </cell>
          <cell r="G48" t="str">
            <v>gemini</v>
          </cell>
          <cell r="H48" t="str">
            <v>done</v>
          </cell>
          <cell r="I48" t="str">
            <v>apps/api/tests/modules/mcp/adapters/</v>
          </cell>
          <cell r="J48" t="str">
            <v>codex</v>
          </cell>
        </row>
        <row r="49">
          <cell r="A49" t="str">
            <v>TS-UC-SEC-MCP-003</v>
          </cell>
          <cell r="B49" t="str">
            <v>CORE</v>
          </cell>
          <cell r="C49" t="str">
            <v>test_009_timeout_audit_log_created</v>
          </cell>
          <cell r="F49" t="str">
            <v>MCP Gateway Query Limits</v>
          </cell>
          <cell r="G49" t="str">
            <v>gemini</v>
          </cell>
          <cell r="H49" t="str">
            <v>done</v>
          </cell>
          <cell r="I49" t="str">
            <v>apps/api/tests/modules/mcp/adapters/</v>
          </cell>
          <cell r="J49" t="str">
            <v>codex</v>
          </cell>
        </row>
        <row r="50">
          <cell r="A50" t="str">
            <v>TS-UC-SEC-MCP-003</v>
          </cell>
          <cell r="B50" t="str">
            <v>CORE</v>
          </cell>
          <cell r="C50" t="str">
            <v>test_010_row_limit_audit_log_created</v>
          </cell>
          <cell r="F50" t="str">
            <v>MCP Gateway Query Limits</v>
          </cell>
          <cell r="G50" t="str">
            <v>gemini</v>
          </cell>
          <cell r="H50" t="str">
            <v>done</v>
          </cell>
          <cell r="I50" t="str">
            <v>apps/api/tests/modules/mcp/adapters/</v>
          </cell>
          <cell r="J50" t="str">
            <v>codex</v>
          </cell>
        </row>
        <row r="51">
          <cell r="A51" t="str">
            <v>TS-UC-SEC-MCP-003</v>
          </cell>
          <cell r="B51" t="str">
            <v>CORE</v>
          </cell>
          <cell r="C51" t="str">
            <v>test_011_combined_timeout_and_row_limit</v>
          </cell>
          <cell r="F51" t="str">
            <v>MCP Gateway Query Limits</v>
          </cell>
          <cell r="G51" t="str">
            <v>gemini</v>
          </cell>
          <cell r="H51" t="str">
            <v>done</v>
          </cell>
          <cell r="I51" t="str">
            <v>apps/api/tests/modules/mcp/adapters/</v>
          </cell>
          <cell r="J51" t="str">
            <v>codex</v>
          </cell>
        </row>
        <row r="52">
          <cell r="A52" t="str">
            <v>TS-UC-SEC-MCP-003</v>
          </cell>
          <cell r="B52" t="str">
            <v>CORE</v>
          </cell>
          <cell r="C52" t="str">
            <v>test_012_query_limit_config_per_tenant</v>
          </cell>
          <cell r="F52" t="str">
            <v>MCP Gateway Query Limits</v>
          </cell>
          <cell r="G52" t="str">
            <v>gemini</v>
          </cell>
          <cell r="H52" t="str">
            <v>done</v>
          </cell>
          <cell r="I52" t="str">
            <v>apps/api/tests/modules/mcp/adapters/</v>
          </cell>
          <cell r="J52" t="str">
            <v>codex</v>
          </cell>
        </row>
        <row r="53">
          <cell r="A53" t="str">
            <v>TS-UC-SEC-MCP-003</v>
          </cell>
          <cell r="B53" t="str">
            <v>CORE</v>
          </cell>
          <cell r="C53" t="str">
            <v>test_edge_001_exactly_1000_rows</v>
          </cell>
          <cell r="F53" t="str">
            <v>MCP Gateway Query Limits</v>
          </cell>
          <cell r="G53" t="str">
            <v>gemini</v>
          </cell>
          <cell r="H53" t="str">
            <v>done</v>
          </cell>
          <cell r="I53" t="str">
            <v>apps/api/tests/modules/mcp/adapters/</v>
          </cell>
          <cell r="J53" t="str">
            <v>codex</v>
          </cell>
        </row>
        <row r="54">
          <cell r="A54" t="str">
            <v>TS-UC-SEC-MCP-003</v>
          </cell>
          <cell r="B54" t="str">
            <v>CORE</v>
          </cell>
          <cell r="C54" t="str">
            <v>test_edge_002_empty_result_set</v>
          </cell>
          <cell r="F54" t="str">
            <v>MCP Gateway Query Limits</v>
          </cell>
          <cell r="G54" t="str">
            <v>gemini</v>
          </cell>
          <cell r="H54" t="str">
            <v>done</v>
          </cell>
          <cell r="I54" t="str">
            <v>apps/api/tests/modules/mcp/adapters/</v>
          </cell>
          <cell r="J54" t="str">
            <v>codex</v>
          </cell>
        </row>
        <row r="55">
          <cell r="A55" t="str">
            <v>TS-UC-SEC-MCP-003</v>
          </cell>
          <cell r="B55" t="str">
            <v>CORE</v>
          </cell>
          <cell r="C55" t="str">
            <v>test_edge_003_streaming_query_timeout</v>
          </cell>
          <cell r="F55" t="str">
            <v>MCP Gateway Query Limits</v>
          </cell>
          <cell r="G55" t="str">
            <v>gemini</v>
          </cell>
          <cell r="H55" t="str">
            <v>done</v>
          </cell>
          <cell r="I55" t="str">
            <v>apps/api/tests/modules/mcp/adapters/</v>
          </cell>
          <cell r="J55" t="str">
            <v>codex</v>
          </cell>
        </row>
        <row r="56">
          <cell r="A56" t="str">
            <v>TS-UC-SEC-ANO-001</v>
          </cell>
          <cell r="B56" t="str">
            <v>CORE</v>
          </cell>
          <cell r="C56" t="str">
            <v>test_001_detect_dni_valid_12345678Z</v>
          </cell>
          <cell r="F56" t="str">
            <v>Anonymizer PII Detection</v>
          </cell>
          <cell r="G56" t="str">
            <v>gemini</v>
          </cell>
          <cell r="H56" t="str">
            <v>done</v>
          </cell>
          <cell r="I56" t="str">
            <v>apps/api/tests/modules/mcp/adapters/.</v>
          </cell>
          <cell r="J56" t="str">
            <v>codex</v>
          </cell>
        </row>
        <row r="57">
          <cell r="A57" t="str">
            <v>TS-UC-SEC-ANO-001</v>
          </cell>
          <cell r="B57" t="str">
            <v>CORE</v>
          </cell>
          <cell r="C57" t="str">
            <v>test_002_detect_dni_valid_87654321X</v>
          </cell>
          <cell r="F57" t="str">
            <v>Anonymizer PII Detection</v>
          </cell>
          <cell r="G57" t="str">
            <v>gemini</v>
          </cell>
          <cell r="H57" t="str">
            <v>done</v>
          </cell>
          <cell r="I57" t="str">
            <v>apps/api/tests/modules/mcp/adapters/.</v>
          </cell>
          <cell r="J57" t="str">
            <v>codex</v>
          </cell>
        </row>
        <row r="58">
          <cell r="A58" t="str">
            <v>TS-UC-SEC-ANO-001</v>
          </cell>
          <cell r="B58" t="str">
            <v>CORE</v>
          </cell>
          <cell r="C58" t="str">
            <v>test_003_detect_dni_invalid_length_9_digits</v>
          </cell>
          <cell r="F58" t="str">
            <v>Anonymizer PII Detection</v>
          </cell>
          <cell r="G58" t="str">
            <v>gemini</v>
          </cell>
          <cell r="H58" t="str">
            <v>done</v>
          </cell>
          <cell r="I58" t="str">
            <v>apps/api/tests/modules/mcp/adapters/.</v>
          </cell>
          <cell r="J58" t="str">
            <v>codex</v>
          </cell>
        </row>
        <row r="59">
          <cell r="A59" t="str">
            <v>TS-UC-SEC-ANO-001</v>
          </cell>
          <cell r="B59" t="str">
            <v>CORE</v>
          </cell>
          <cell r="C59" t="str">
            <v>test_004_detect_dni_invalid_length_7_digits</v>
          </cell>
          <cell r="F59" t="str">
            <v>Anonymizer PII Detection</v>
          </cell>
          <cell r="G59" t="str">
            <v>gemini</v>
          </cell>
          <cell r="H59" t="str">
            <v>done</v>
          </cell>
          <cell r="I59" t="str">
            <v>apps/api/tests/modules/mcp/adapters/.</v>
          </cell>
          <cell r="J59" t="str">
            <v>codex</v>
          </cell>
        </row>
        <row r="60">
          <cell r="A60" t="str">
            <v>TS-UC-SEC-ANO-001</v>
          </cell>
          <cell r="B60" t="str">
            <v>CORE</v>
          </cell>
          <cell r="C60" t="str">
            <v>test_005_detect_dni_invalid_letter_checksum</v>
          </cell>
          <cell r="F60" t="str">
            <v>Anonymizer PII Detection</v>
          </cell>
          <cell r="G60" t="str">
            <v>gemini</v>
          </cell>
          <cell r="H60" t="str">
            <v>done</v>
          </cell>
          <cell r="I60" t="str">
            <v>apps/api/tests/modules/mcp/adapters/.</v>
          </cell>
          <cell r="J60" t="str">
            <v>codex</v>
          </cell>
        </row>
        <row r="61">
          <cell r="A61" t="str">
            <v>TS-UC-SEC-ANO-001</v>
          </cell>
          <cell r="B61" t="str">
            <v>CORE</v>
          </cell>
          <cell r="C61" t="str">
            <v>test_006_detect_multiple_dnis_in_text</v>
          </cell>
          <cell r="F61" t="str">
            <v>Anonymizer PII Detection</v>
          </cell>
          <cell r="G61" t="str">
            <v>gemini</v>
          </cell>
          <cell r="H61" t="str">
            <v>done</v>
          </cell>
          <cell r="I61" t="str">
            <v>apps/api/tests/modules/mcp/adapters/.</v>
          </cell>
          <cell r="J61" t="str">
            <v>codex</v>
          </cell>
        </row>
        <row r="62">
          <cell r="A62" t="str">
            <v>TS-UC-SEC-ANO-001</v>
          </cell>
          <cell r="B62" t="str">
            <v>CORE</v>
          </cell>
          <cell r="C62" t="str">
            <v>test_007_detect_email_simple</v>
          </cell>
          <cell r="F62" t="str">
            <v>Anonymizer PII Detection</v>
          </cell>
          <cell r="G62" t="str">
            <v>gemini</v>
          </cell>
          <cell r="H62" t="str">
            <v>done</v>
          </cell>
          <cell r="I62" t="str">
            <v>apps/api/tests/modules/mcp/adapters/.</v>
          </cell>
          <cell r="J62" t="str">
            <v>codex</v>
          </cell>
        </row>
        <row r="63">
          <cell r="A63" t="str">
            <v>TS-UC-SEC-ANO-001</v>
          </cell>
          <cell r="B63" t="str">
            <v>CORE</v>
          </cell>
          <cell r="C63" t="str">
            <v>test_008_detect_email_with_subdomain</v>
          </cell>
          <cell r="F63" t="str">
            <v>Anonymizer PII Detection</v>
          </cell>
          <cell r="G63" t="str">
            <v>gemini</v>
          </cell>
          <cell r="H63" t="str">
            <v>done</v>
          </cell>
          <cell r="I63" t="str">
            <v>apps/api/tests/modules/mcp/adapters/.</v>
          </cell>
          <cell r="J63" t="str">
            <v>codex</v>
          </cell>
        </row>
        <row r="64">
          <cell r="A64" t="str">
            <v>TS-UC-SEC-ANO-001</v>
          </cell>
          <cell r="B64" t="str">
            <v>CORE</v>
          </cell>
          <cell r="C64" t="str">
            <v>test_009_detect_email_with_plus_sign</v>
          </cell>
          <cell r="F64" t="str">
            <v>Anonymizer PII Detection</v>
          </cell>
          <cell r="G64" t="str">
            <v>gemini</v>
          </cell>
          <cell r="H64" t="str">
            <v>done</v>
          </cell>
          <cell r="I64" t="str">
            <v>apps/api/tests/modules/mcp/adapters/.</v>
          </cell>
          <cell r="J64" t="str">
            <v>codex</v>
          </cell>
        </row>
        <row r="65">
          <cell r="A65" t="str">
            <v>TS-UC-SEC-ANO-001</v>
          </cell>
          <cell r="B65" t="str">
            <v>CORE</v>
          </cell>
          <cell r="C65" t="str">
            <v>test_010_detect_email_invalid_no_at</v>
          </cell>
          <cell r="F65" t="str">
            <v>Anonymizer PII Detection</v>
          </cell>
          <cell r="G65" t="str">
            <v>gemini</v>
          </cell>
          <cell r="H65" t="str">
            <v>done</v>
          </cell>
          <cell r="I65" t="str">
            <v>apps/api/tests/modules/mcp/adapters/.</v>
          </cell>
          <cell r="J65" t="str">
            <v>codex</v>
          </cell>
        </row>
        <row r="66">
          <cell r="A66" t="str">
            <v>TS-UC-SEC-ANO-001</v>
          </cell>
          <cell r="B66" t="str">
            <v>CORE</v>
          </cell>
          <cell r="C66" t="str">
            <v>test_011_detect_multiple_emails_in_text</v>
          </cell>
          <cell r="F66" t="str">
            <v>Anonymizer PII Detection</v>
          </cell>
          <cell r="G66" t="str">
            <v>gemini</v>
          </cell>
          <cell r="H66" t="str">
            <v>done</v>
          </cell>
          <cell r="I66" t="str">
            <v>apps/api/tests/modules/mcp/adapters/.</v>
          </cell>
          <cell r="J66" t="str">
            <v>codex</v>
          </cell>
        </row>
        <row r="67">
          <cell r="A67" t="str">
            <v>TS-UC-SEC-ANO-001</v>
          </cell>
          <cell r="B67" t="str">
            <v>CORE</v>
          </cell>
          <cell r="C67" t="str">
            <v>test_012_detect_phone_mobile_612345678</v>
          </cell>
          <cell r="F67" t="str">
            <v>Anonymizer PII Detection</v>
          </cell>
          <cell r="G67" t="str">
            <v>gemini</v>
          </cell>
          <cell r="H67" t="str">
            <v>done</v>
          </cell>
          <cell r="I67" t="str">
            <v>apps/api/tests/modules/mcp/adapters/.</v>
          </cell>
          <cell r="J67" t="str">
            <v>codex</v>
          </cell>
        </row>
        <row r="68">
          <cell r="A68" t="str">
            <v>TS-UC-SEC-ANO-001</v>
          </cell>
          <cell r="B68" t="str">
            <v>CORE</v>
          </cell>
          <cell r="C68" t="str">
            <v>test_013_detect_phone_mobile_with_prefix_34</v>
          </cell>
          <cell r="F68" t="str">
            <v>Anonymizer PII Detection</v>
          </cell>
          <cell r="G68" t="str">
            <v>gemini</v>
          </cell>
          <cell r="H68" t="str">
            <v>done</v>
          </cell>
          <cell r="I68" t="str">
            <v>apps/api/tests/modules/mcp/adapters/.</v>
          </cell>
          <cell r="J68" t="str">
            <v>codex</v>
          </cell>
        </row>
        <row r="69">
          <cell r="A69" t="str">
            <v>TS-UC-SEC-ANO-001</v>
          </cell>
          <cell r="B69" t="str">
            <v>CORE</v>
          </cell>
          <cell r="C69" t="str">
            <v>test_014_detect_phone_landline_912345678</v>
          </cell>
          <cell r="F69" t="str">
            <v>Anonymizer PII Detection</v>
          </cell>
          <cell r="G69" t="str">
            <v>gemini</v>
          </cell>
          <cell r="H69" t="str">
            <v>done</v>
          </cell>
          <cell r="I69" t="str">
            <v>apps/api/tests/modules/mcp/adapters/.</v>
          </cell>
          <cell r="J69" t="str">
            <v>codex</v>
          </cell>
        </row>
        <row r="70">
          <cell r="A70" t="str">
            <v>TS-UC-SEC-ANO-001</v>
          </cell>
          <cell r="B70" t="str">
            <v>CORE</v>
          </cell>
          <cell r="C70" t="str">
            <v>test_015_detect_phone_invalid_short</v>
          </cell>
          <cell r="F70" t="str">
            <v>Anonymizer PII Detection</v>
          </cell>
          <cell r="G70" t="str">
            <v>gemini</v>
          </cell>
          <cell r="H70" t="str">
            <v>done</v>
          </cell>
          <cell r="I70" t="str">
            <v>apps/api/tests/modules/mcp/adapters/.</v>
          </cell>
          <cell r="J70" t="str">
            <v>codex</v>
          </cell>
        </row>
        <row r="71">
          <cell r="A71" t="str">
            <v>TS-UC-SEC-ANO-001</v>
          </cell>
          <cell r="B71" t="str">
            <v>CORE</v>
          </cell>
          <cell r="C71" t="str">
            <v>test_016_detect_multiple_phones_in_text</v>
          </cell>
          <cell r="F71" t="str">
            <v>Anonymizer PII Detection</v>
          </cell>
          <cell r="G71" t="str">
            <v>gemini</v>
          </cell>
          <cell r="H71" t="str">
            <v>done</v>
          </cell>
          <cell r="I71" t="str">
            <v>apps/api/tests/modules/mcp/adapters/.</v>
          </cell>
          <cell r="J71" t="str">
            <v>codex</v>
          </cell>
        </row>
        <row r="72">
          <cell r="A72" t="str">
            <v>TS-UC-SEC-ANO-001</v>
          </cell>
          <cell r="B72" t="str">
            <v>CORE</v>
          </cell>
          <cell r="C72" t="str">
            <v>test_017_detect_iban_spain_valid</v>
          </cell>
          <cell r="F72" t="str">
            <v>Anonymizer PII Detection</v>
          </cell>
          <cell r="G72" t="str">
            <v>gemini</v>
          </cell>
          <cell r="H72" t="str">
            <v>done</v>
          </cell>
          <cell r="I72" t="str">
            <v>apps/api/tests/modules/mcp/adapters/.</v>
          </cell>
          <cell r="J72" t="str">
            <v>codex</v>
          </cell>
        </row>
        <row r="73">
          <cell r="A73" t="str">
            <v>TS-UC-SEC-ANO-001</v>
          </cell>
          <cell r="B73" t="str">
            <v>CORE</v>
          </cell>
          <cell r="C73" t="str">
            <v>test_018_detect_iban_germany_valid</v>
          </cell>
          <cell r="F73" t="str">
            <v>Anonymizer PII Detection</v>
          </cell>
          <cell r="G73" t="str">
            <v>gemini</v>
          </cell>
          <cell r="H73" t="str">
            <v>done</v>
          </cell>
          <cell r="I73" t="str">
            <v>apps/api/tests/modules/mcp/adapters/.</v>
          </cell>
          <cell r="J73" t="str">
            <v>codex</v>
          </cell>
        </row>
        <row r="74">
          <cell r="A74" t="str">
            <v>TS-UC-SEC-ANO-001</v>
          </cell>
          <cell r="B74" t="str">
            <v>CORE</v>
          </cell>
          <cell r="C74" t="str">
            <v>test_019_detect_iban_invalid_checksum</v>
          </cell>
          <cell r="F74" t="str">
            <v>Anonymizer PII Detection</v>
          </cell>
          <cell r="G74" t="str">
            <v>gemini</v>
          </cell>
          <cell r="H74" t="str">
            <v>done</v>
          </cell>
          <cell r="I74" t="str">
            <v>apps/api/tests/modules/mcp/adapters/.</v>
          </cell>
          <cell r="J74" t="str">
            <v>codex</v>
          </cell>
        </row>
        <row r="75">
          <cell r="A75" t="str">
            <v>TS-UC-SEC-ANO-001</v>
          </cell>
          <cell r="B75" t="str">
            <v>CORE</v>
          </cell>
          <cell r="C75" t="str">
            <v>test_020_detect_iban_invalid_length</v>
          </cell>
          <cell r="F75" t="str">
            <v>Anonymizer PII Detection</v>
          </cell>
          <cell r="G75" t="str">
            <v>gemini</v>
          </cell>
          <cell r="H75" t="str">
            <v>done</v>
          </cell>
          <cell r="I75" t="str">
            <v>apps/api/tests/modules/mcp/adapters/.</v>
          </cell>
          <cell r="J75" t="str">
            <v>codex</v>
          </cell>
        </row>
        <row r="76">
          <cell r="A76" t="str">
            <v>TS-UC-SEC-ANO-001</v>
          </cell>
          <cell r="B76" t="str">
            <v>CORE</v>
          </cell>
          <cell r="C76" t="str">
            <v>test_021_detect_all_pii_types_in_document</v>
          </cell>
          <cell r="F76" t="str">
            <v>Anonymizer PII Detection</v>
          </cell>
          <cell r="G76" t="str">
            <v>gemini</v>
          </cell>
          <cell r="H76" t="str">
            <v>done</v>
          </cell>
          <cell r="I76" t="str">
            <v>apps/api/tests/modules/mcp/adapters/.</v>
          </cell>
          <cell r="J76" t="str">
            <v>codex</v>
          </cell>
        </row>
        <row r="77">
          <cell r="A77" t="str">
            <v>TS-UC-SEC-ANO-001</v>
          </cell>
          <cell r="B77" t="str">
            <v>CORE</v>
          </cell>
          <cell r="C77" t="str">
            <v>test_022_detect_no_pii_clean_document</v>
          </cell>
          <cell r="F77" t="str">
            <v>Anonymizer PII Detection</v>
          </cell>
          <cell r="G77" t="str">
            <v>gemini</v>
          </cell>
          <cell r="H77" t="str">
            <v>done</v>
          </cell>
          <cell r="I77" t="str">
            <v>apps/api/tests/modules/mcp/adapters/.</v>
          </cell>
          <cell r="J77" t="str">
            <v>codex</v>
          </cell>
        </row>
        <row r="78">
          <cell r="A78" t="str">
            <v>TS-UC-SEC-ANO-001</v>
          </cell>
          <cell r="B78" t="str">
            <v>CORE</v>
          </cell>
          <cell r="C78" t="str">
            <v>test_023_detect_pii_positions_returned</v>
          </cell>
          <cell r="F78" t="str">
            <v>Anonymizer PII Detection</v>
          </cell>
          <cell r="G78" t="str">
            <v>gemini</v>
          </cell>
          <cell r="H78" t="str">
            <v>done</v>
          </cell>
          <cell r="I78" t="str">
            <v>apps/api/tests/modules/mcp/adapters/.</v>
          </cell>
          <cell r="J78" t="str">
            <v>codex</v>
          </cell>
        </row>
        <row r="79">
          <cell r="A79" t="str">
            <v>TS-UC-SEC-ANO-001</v>
          </cell>
          <cell r="B79" t="str">
            <v>CORE</v>
          </cell>
          <cell r="C79" t="str">
            <v>test_024_detect_pii_counts_by_type</v>
          </cell>
          <cell r="F79" t="str">
            <v>Anonymizer PII Detection</v>
          </cell>
          <cell r="G79" t="str">
            <v>gemini</v>
          </cell>
          <cell r="H79" t="str">
            <v>done</v>
          </cell>
          <cell r="I79" t="str">
            <v>apps/api/tests/modules/mcp/adapters/.</v>
          </cell>
          <cell r="J79" t="str">
            <v>codex</v>
          </cell>
        </row>
        <row r="80">
          <cell r="A80" t="str">
            <v>TS-UC-SEC-ANO-001</v>
          </cell>
          <cell r="B80" t="str">
            <v>CORE</v>
          </cell>
          <cell r="C80" t="str">
            <v>test_edge_001_pii_in_different_languages</v>
          </cell>
          <cell r="F80" t="str">
            <v>Anonymizer PII Detection</v>
          </cell>
          <cell r="G80" t="str">
            <v>gemini</v>
          </cell>
          <cell r="H80" t="str">
            <v>done</v>
          </cell>
          <cell r="I80" t="str">
            <v>apps/api/tests/modules/mcp/adapters/.</v>
          </cell>
          <cell r="J80" t="str">
            <v>codex</v>
          </cell>
        </row>
        <row r="81">
          <cell r="A81" t="str">
            <v>TS-UC-SEC-ANO-001</v>
          </cell>
          <cell r="B81" t="str">
            <v>CORE</v>
          </cell>
          <cell r="C81" t="str">
            <v>test_edge_002_pii_with_unicode_characters</v>
          </cell>
          <cell r="F81" t="str">
            <v>Anonymizer PII Detection</v>
          </cell>
          <cell r="G81" t="str">
            <v>gemini</v>
          </cell>
          <cell r="H81" t="str">
            <v>done</v>
          </cell>
          <cell r="I81" t="str">
            <v>apps/api/tests/modules/mcp/adapters/.</v>
          </cell>
          <cell r="J81" t="str">
            <v>codex</v>
          </cell>
        </row>
        <row r="82">
          <cell r="A82" t="str">
            <v>TS-UC-SEC-ANO-001</v>
          </cell>
          <cell r="B82" t="str">
            <v>CORE</v>
          </cell>
          <cell r="C82" t="str">
            <v>test_edge_003_pii_in_html_escaped_text</v>
          </cell>
          <cell r="F82" t="str">
            <v>Anonymizer PII Detection</v>
          </cell>
          <cell r="J82" t="str">
            <v>codex</v>
          </cell>
        </row>
        <row r="83">
          <cell r="A83" t="str">
            <v>TS-UC-SEC-ANO-002</v>
          </cell>
          <cell r="B83" t="str">
            <v>CORE</v>
          </cell>
          <cell r="C83" t="str">
            <v>test_001_redact_dni_to_redacted</v>
          </cell>
          <cell r="F83" t="str">
            <v>Anonymizer Strategies</v>
          </cell>
          <cell r="G83" t="str">
            <v>gemini</v>
          </cell>
          <cell r="H83" t="str">
            <v>done</v>
          </cell>
          <cell r="J83" t="str">
            <v>codex</v>
          </cell>
        </row>
        <row r="84">
          <cell r="A84" t="str">
            <v>TS-UC-SEC-ANO-002</v>
          </cell>
          <cell r="B84" t="str">
            <v>CORE</v>
          </cell>
          <cell r="C84" t="str">
            <v>test_002_redact_email_to_redacted</v>
          </cell>
          <cell r="F84" t="str">
            <v>Anonymizer Strategies</v>
          </cell>
          <cell r="G84" t="str">
            <v>gemini</v>
          </cell>
          <cell r="H84" t="str">
            <v>done</v>
          </cell>
          <cell r="J84" t="str">
            <v>codex</v>
          </cell>
        </row>
        <row r="85">
          <cell r="A85" t="str">
            <v>TS-UC-SEC-ANO-002</v>
          </cell>
          <cell r="B85" t="str">
            <v>CORE</v>
          </cell>
          <cell r="C85" t="str">
            <v>test_003_redact_phone_to_redacted</v>
          </cell>
          <cell r="F85" t="str">
            <v>Anonymizer Strategies</v>
          </cell>
          <cell r="G85" t="str">
            <v>gemini</v>
          </cell>
          <cell r="H85" t="str">
            <v>done</v>
          </cell>
          <cell r="J85" t="str">
            <v>codex</v>
          </cell>
        </row>
        <row r="86">
          <cell r="A86" t="str">
            <v>TS-UC-SEC-ANO-002</v>
          </cell>
          <cell r="B86" t="str">
            <v>CORE</v>
          </cell>
          <cell r="C86" t="str">
            <v>test_004_redact_multiple_pii_all_redacted</v>
          </cell>
          <cell r="F86" t="str">
            <v>Anonymizer Strategies</v>
          </cell>
          <cell r="G86" t="str">
            <v>gemini</v>
          </cell>
          <cell r="H86" t="str">
            <v>done</v>
          </cell>
          <cell r="J86" t="str">
            <v>codex</v>
          </cell>
        </row>
        <row r="87">
          <cell r="A87" t="str">
            <v>TS-UC-SEC-ANO-002</v>
          </cell>
          <cell r="B87" t="str">
            <v>CORE</v>
          </cell>
          <cell r="C87" t="str">
            <v>test_005_hash_dni_deterministic</v>
          </cell>
          <cell r="F87" t="str">
            <v>Anonymizer Strategies</v>
          </cell>
          <cell r="G87" t="str">
            <v>gemini</v>
          </cell>
          <cell r="H87" t="str">
            <v>done</v>
          </cell>
          <cell r="J87" t="str">
            <v>codex</v>
          </cell>
        </row>
        <row r="88">
          <cell r="A88" t="str">
            <v>TS-UC-SEC-ANO-002</v>
          </cell>
          <cell r="B88" t="str">
            <v>CORE</v>
          </cell>
          <cell r="C88" t="str">
            <v>test_006_hash_same_value_same_hash</v>
          </cell>
          <cell r="F88" t="str">
            <v>Anonymizer Strategies</v>
          </cell>
          <cell r="G88" t="str">
            <v>gemini</v>
          </cell>
          <cell r="H88" t="str">
            <v>done</v>
          </cell>
          <cell r="J88" t="str">
            <v>codex</v>
          </cell>
        </row>
        <row r="89">
          <cell r="A89" t="str">
            <v>TS-UC-SEC-ANO-002</v>
          </cell>
          <cell r="B89" t="str">
            <v>CORE</v>
          </cell>
          <cell r="C89" t="str">
            <v>test_007_hash_different_values_different_hash</v>
          </cell>
          <cell r="F89" t="str">
            <v>Anonymizer Strategies</v>
          </cell>
          <cell r="G89" t="str">
            <v>gemini</v>
          </cell>
          <cell r="H89" t="str">
            <v>done</v>
          </cell>
          <cell r="J89" t="str">
            <v>codex</v>
          </cell>
        </row>
        <row r="90">
          <cell r="A90" t="str">
            <v>TS-UC-SEC-ANO-002</v>
          </cell>
          <cell r="B90" t="str">
            <v>CORE</v>
          </cell>
          <cell r="C90" t="str">
            <v>test_008_hash_irreversible_validation</v>
          </cell>
          <cell r="F90" t="str">
            <v>Anonymizer Strategies</v>
          </cell>
          <cell r="G90" t="str">
            <v>gemini</v>
          </cell>
          <cell r="H90" t="str">
            <v>done</v>
          </cell>
          <cell r="J90" t="str">
            <v>codex</v>
          </cell>
        </row>
        <row r="91">
          <cell r="A91" t="str">
            <v>TS-UC-SEC-ANO-002</v>
          </cell>
          <cell r="B91" t="str">
            <v>CORE</v>
          </cell>
          <cell r="C91" t="str">
            <v>test_009_pseudonymize_name_to_persona_001</v>
          </cell>
          <cell r="F91" t="str">
            <v>Anonymizer Strategies</v>
          </cell>
          <cell r="G91" t="str">
            <v>gemini</v>
          </cell>
          <cell r="H91" t="str">
            <v>done</v>
          </cell>
          <cell r="J91" t="str">
            <v>codex</v>
          </cell>
        </row>
        <row r="92">
          <cell r="A92" t="str">
            <v>TS-UC-SEC-ANO-002</v>
          </cell>
          <cell r="B92" t="str">
            <v>CORE</v>
          </cell>
          <cell r="C92" t="str">
            <v>test_010_pseudonymize_consistent_same_name</v>
          </cell>
          <cell r="F92" t="str">
            <v>Anonymizer Strategies</v>
          </cell>
          <cell r="G92" t="str">
            <v>gemini</v>
          </cell>
          <cell r="H92" t="str">
            <v>done</v>
          </cell>
          <cell r="J92" t="str">
            <v>codex</v>
          </cell>
        </row>
        <row r="93">
          <cell r="A93" t="str">
            <v>TS-UC-SEC-ANO-002</v>
          </cell>
          <cell r="B93" t="str">
            <v>CORE</v>
          </cell>
          <cell r="C93" t="str">
            <v>test_011_pseudonymize_different_names_different_ids</v>
          </cell>
          <cell r="F93" t="str">
            <v>Anonymizer Strategies</v>
          </cell>
          <cell r="G93" t="str">
            <v>gemini</v>
          </cell>
          <cell r="H93" t="str">
            <v>done</v>
          </cell>
          <cell r="J93" t="str">
            <v>codex</v>
          </cell>
        </row>
        <row r="94">
          <cell r="A94" t="str">
            <v>TS-UC-SEC-ANO-002</v>
          </cell>
          <cell r="B94" t="str">
            <v>CORE</v>
          </cell>
          <cell r="C94" t="str">
            <v>test_012_pseudonymize_in_context_preserved</v>
          </cell>
          <cell r="F94" t="str">
            <v>Anonymizer Strategies</v>
          </cell>
          <cell r="G94" t="str">
            <v>gemini</v>
          </cell>
          <cell r="H94" t="str">
            <v>done</v>
          </cell>
          <cell r="J94" t="str">
            <v>codex</v>
          </cell>
        </row>
        <row r="95">
          <cell r="A95" t="str">
            <v>TS-UC-SEC-ANO-002</v>
          </cell>
          <cell r="B95" t="str">
            <v>CORE</v>
          </cell>
          <cell r="C95" t="str">
            <v>test_013_strategy_by_pii_type_default</v>
          </cell>
          <cell r="F95" t="str">
            <v>Anonymizer Strategies</v>
          </cell>
          <cell r="G95" t="str">
            <v>gemini</v>
          </cell>
          <cell r="H95" t="str">
            <v>done</v>
          </cell>
          <cell r="J95" t="str">
            <v>codex</v>
          </cell>
        </row>
        <row r="96">
          <cell r="A96" t="str">
            <v>TS-UC-SEC-ANO-002</v>
          </cell>
          <cell r="B96" t="str">
            <v>CORE</v>
          </cell>
          <cell r="C96" t="str">
            <v>test_014_strategy_by_tenant_config</v>
          </cell>
          <cell r="F96" t="str">
            <v>Anonymizer Strategies</v>
          </cell>
          <cell r="G96" t="str">
            <v>gemini</v>
          </cell>
          <cell r="H96" t="str">
            <v>done</v>
          </cell>
          <cell r="J96" t="str">
            <v>codex</v>
          </cell>
        </row>
        <row r="97">
          <cell r="A97" t="str">
            <v>TS-UC-SEC-ANO-002</v>
          </cell>
          <cell r="B97" t="str">
            <v>CORE</v>
          </cell>
          <cell r="C97" t="str">
            <v>test_015_strategy_mixed_per_type</v>
          </cell>
          <cell r="F97" t="str">
            <v>Anonymizer Strategies</v>
          </cell>
          <cell r="G97" t="str">
            <v>gemini</v>
          </cell>
          <cell r="H97" t="str">
            <v>done</v>
          </cell>
          <cell r="J97" t="str">
            <v>codex</v>
          </cell>
        </row>
        <row r="98">
          <cell r="A98" t="str">
            <v>TS-UC-SEC-ANO-002</v>
          </cell>
          <cell r="B98" t="str">
            <v>CORE</v>
          </cell>
          <cell r="C98" t="str">
            <v>test_016_strategy_none_keeps_original</v>
          </cell>
          <cell r="F98" t="str">
            <v>Anonymizer Strategies</v>
          </cell>
          <cell r="G98" t="str">
            <v>gemini</v>
          </cell>
          <cell r="H98" t="str">
            <v>done</v>
          </cell>
          <cell r="J98" t="str">
            <v>codex</v>
          </cell>
        </row>
        <row r="99">
          <cell r="A99" t="str">
            <v>TS-UC-SEC-ANO-002</v>
          </cell>
          <cell r="B99" t="str">
            <v>CORE</v>
          </cell>
          <cell r="C99" t="str">
            <v>test_edge_001_nested_pii_in_pii</v>
          </cell>
          <cell r="F99" t="str">
            <v>Anonymizer Strategies</v>
          </cell>
          <cell r="G99" t="str">
            <v>gemini</v>
          </cell>
          <cell r="H99" t="str">
            <v>done</v>
          </cell>
          <cell r="J99" t="str">
            <v>codex</v>
          </cell>
        </row>
        <row r="100">
          <cell r="A100" t="str">
            <v>TS-UC-SEC-ANO-002</v>
          </cell>
          <cell r="B100" t="str">
            <v>CORE</v>
          </cell>
          <cell r="C100" t="str">
            <v>test_edge_002_overlapping_pii_positions</v>
          </cell>
          <cell r="F100" t="str">
            <v>Anonymizer Strategies</v>
          </cell>
          <cell r="G100" t="str">
            <v>gemini</v>
          </cell>
          <cell r="H100" t="str">
            <v>done</v>
          </cell>
          <cell r="J100" t="str">
            <v>codex</v>
          </cell>
        </row>
        <row r="101">
          <cell r="A101" t="str">
            <v>TS-UC-SEC-ANO-002</v>
          </cell>
          <cell r="B101" t="str">
            <v>CORE</v>
          </cell>
          <cell r="C101" t="str">
            <v>test_edge_003_empty_text_no_error</v>
          </cell>
          <cell r="F101" t="str">
            <v>Anonymizer Strategies</v>
          </cell>
          <cell r="G101" t="str">
            <v>gemini</v>
          </cell>
          <cell r="H101" t="str">
            <v>done</v>
          </cell>
          <cell r="J101" t="str">
            <v>codex</v>
          </cell>
        </row>
        <row r="102">
          <cell r="A102" t="str">
            <v>TS-UC-SEC-ANO-003</v>
          </cell>
          <cell r="B102" t="str">
            <v>CORE</v>
          </cell>
          <cell r="C102" t="str">
            <v>Tests not individually listed</v>
          </cell>
          <cell r="F102" t="str">
            <v>Anti-Gaming Detection</v>
          </cell>
          <cell r="G102" t="str">
            <v>gemini</v>
          </cell>
          <cell r="H102" t="str">
            <v>done</v>
          </cell>
          <cell r="J102" t="str">
            <v>codex</v>
          </cell>
        </row>
        <row r="103">
          <cell r="A103" t="str">
            <v>TS-UC-SEC-TNT-001</v>
          </cell>
          <cell r="B103" t="str">
            <v>CORE</v>
          </cell>
          <cell r="C103" t="str">
            <v>Tests not individually listed</v>
          </cell>
          <cell r="F103" t="str">
            <v>Anti-Gaming Detection</v>
          </cell>
          <cell r="G103" t="str">
            <v>gemini</v>
          </cell>
          <cell r="H103" t="str">
            <v>done</v>
          </cell>
          <cell r="J103" t="str">
            <v>codex</v>
          </cell>
        </row>
        <row r="104">
          <cell r="A104" t="str">
            <v>TS-UC-SEC-JWT-001</v>
          </cell>
          <cell r="B104" t="str">
            <v>CORE</v>
          </cell>
          <cell r="C104" t="str">
            <v>Tests not individually listed</v>
          </cell>
          <cell r="F104" t="str">
            <v>Anti-Gaming Detection</v>
          </cell>
          <cell r="G104" t="str">
            <v>gemini</v>
          </cell>
          <cell r="H104" t="str">
            <v>done</v>
          </cell>
        </row>
        <row r="105">
          <cell r="A105" t="str">
            <v>TS-UC-SEC-AUD-001</v>
          </cell>
          <cell r="B105" t="str">
            <v>CORE</v>
          </cell>
          <cell r="C105" t="str">
            <v>Tests not individually listed</v>
          </cell>
          <cell r="F105" t="str">
            <v>Anti-Gaming Detection</v>
          </cell>
          <cell r="G105" t="str">
            <v>gemini</v>
          </cell>
          <cell r="H105" t="str">
            <v>done</v>
          </cell>
        </row>
        <row r="106">
          <cell r="A106" t="str">
            <v>TS-UC-SEC-GAM-001</v>
          </cell>
          <cell r="B106" t="str">
            <v>CORE</v>
          </cell>
          <cell r="C106" t="str">
            <v>test_001_mass_changes_11_in_hour_detected</v>
          </cell>
          <cell r="F106" t="str">
            <v>Anti-Gaming Detection</v>
          </cell>
          <cell r="G106" t="str">
            <v>gemini</v>
          </cell>
          <cell r="H106" t="str">
            <v>done</v>
          </cell>
          <cell r="J106" t="str">
            <v>codex</v>
          </cell>
        </row>
        <row r="107">
          <cell r="A107" t="str">
            <v>TS-UC-SEC-GAM-001</v>
          </cell>
          <cell r="B107" t="str">
            <v>CORE</v>
          </cell>
          <cell r="C107" t="str">
            <v>test_002_mass_changes_10_in_hour_allowed</v>
          </cell>
          <cell r="F107" t="str">
            <v>Anti-Gaming Detection</v>
          </cell>
          <cell r="G107" t="str">
            <v>gemini</v>
          </cell>
          <cell r="H107" t="str">
            <v>done</v>
          </cell>
          <cell r="J107" t="str">
            <v>codex</v>
          </cell>
        </row>
        <row r="108">
          <cell r="A108" t="str">
            <v>TS-UC-SEC-GAM-001</v>
          </cell>
          <cell r="B108" t="str">
            <v>CORE</v>
          </cell>
          <cell r="C108" t="str">
            <v>test_003_mass_changes_window_reset</v>
          </cell>
          <cell r="F108" t="str">
            <v>Anti-Gaming Detection</v>
          </cell>
          <cell r="G108" t="str">
            <v>gemini</v>
          </cell>
          <cell r="H108" t="str">
            <v>done</v>
          </cell>
          <cell r="J108" t="str">
            <v>codex</v>
          </cell>
        </row>
        <row r="109">
          <cell r="A109" t="str">
            <v>TS-UC-SEC-GAM-001</v>
          </cell>
          <cell r="B109" t="str">
            <v>CORE</v>
          </cell>
          <cell r="C109" t="str">
            <v>test_004_resolve_reintroduce_3_times_detected</v>
          </cell>
          <cell r="F109" t="str">
            <v>Anti-Gaming Detection</v>
          </cell>
          <cell r="G109" t="str">
            <v>gemini</v>
          </cell>
          <cell r="H109" t="str">
            <v>done</v>
          </cell>
          <cell r="J109" t="str">
            <v>codex</v>
          </cell>
        </row>
        <row r="110">
          <cell r="A110" t="str">
            <v>TS-UC-SEC-GAM-001</v>
          </cell>
          <cell r="B110" t="str">
            <v>CORE</v>
          </cell>
          <cell r="C110" t="str">
            <v>test_005_resolve_reintroduce_2_times_allowed</v>
          </cell>
          <cell r="F110" t="str">
            <v>Anti-Gaming Detection</v>
          </cell>
          <cell r="G110" t="str">
            <v>gemini</v>
          </cell>
          <cell r="H110" t="str">
            <v>done</v>
          </cell>
          <cell r="J110" t="str">
            <v>codex</v>
          </cell>
        </row>
        <row r="111">
          <cell r="A111" t="str">
            <v>TS-UC-SEC-GAM-001</v>
          </cell>
          <cell r="B111" t="str">
            <v>CORE</v>
          </cell>
          <cell r="C111" t="str">
            <v>test_006_resolve_reintroduce_different_hash_allowed</v>
          </cell>
          <cell r="F111" t="str">
            <v>Anti-Gaming Detection</v>
          </cell>
          <cell r="G111" t="str">
            <v>gemini</v>
          </cell>
          <cell r="H111" t="str">
            <v>done</v>
          </cell>
          <cell r="J111" t="str">
            <v>codex</v>
          </cell>
        </row>
        <row r="112">
          <cell r="A112" t="str">
            <v>TS-UC-SEC-GAM-001</v>
          </cell>
          <cell r="B112" t="str">
            <v>CORE</v>
          </cell>
          <cell r="C112" t="str">
            <v>test_007_high_score_few_docs_detected</v>
          </cell>
          <cell r="F112" t="str">
            <v>Anti-Gaming Detection</v>
          </cell>
          <cell r="G112" t="str">
            <v>gemini</v>
          </cell>
          <cell r="H112" t="str">
            <v>done</v>
          </cell>
          <cell r="J112" t="str">
            <v>codex</v>
          </cell>
        </row>
        <row r="113">
          <cell r="A113" t="str">
            <v>TS-UC-SEC-GAM-001</v>
          </cell>
          <cell r="B113" t="str">
            <v>CORE</v>
          </cell>
          <cell r="C113" t="str">
            <v>test_008_high_score_many_docs_allowed</v>
          </cell>
          <cell r="F113" t="str">
            <v>Anti-Gaming Detection</v>
          </cell>
          <cell r="G113" t="str">
            <v>gemini</v>
          </cell>
          <cell r="H113" t="str">
            <v>done</v>
          </cell>
          <cell r="J113" t="str">
            <v>codex</v>
          </cell>
        </row>
        <row r="114">
          <cell r="A114" t="str">
            <v>TS-UC-SEC-GAM-001</v>
          </cell>
          <cell r="B114" t="str">
            <v>CORE</v>
          </cell>
          <cell r="C114" t="str">
            <v>test_009_high_score_threshold_boundary</v>
          </cell>
          <cell r="F114" t="str">
            <v>Anti-Gaming Detection</v>
          </cell>
          <cell r="G114" t="str">
            <v>gemini</v>
          </cell>
          <cell r="H114" t="str">
            <v>done</v>
          </cell>
          <cell r="J114" t="str">
            <v>codex</v>
          </cell>
        </row>
        <row r="115">
          <cell r="A115" t="str">
            <v>TS-UC-SEC-GAM-001</v>
          </cell>
          <cell r="B115" t="str">
            <v>CORE</v>
          </cell>
          <cell r="C115" t="str">
            <v>test_010_weight_change_25_percent_detected</v>
          </cell>
          <cell r="F115" t="str">
            <v>Anti-Gaming Detection</v>
          </cell>
          <cell r="G115" t="str">
            <v>gemini</v>
          </cell>
          <cell r="H115" t="str">
            <v>done</v>
          </cell>
          <cell r="J115" t="str">
            <v>codex</v>
          </cell>
        </row>
        <row r="116">
          <cell r="A116" t="str">
            <v>TS-UC-SEC-GAM-001</v>
          </cell>
          <cell r="B116" t="str">
            <v>CORE</v>
          </cell>
          <cell r="C116" t="str">
            <v>test_011_weight_change_15_percent_allowed</v>
          </cell>
          <cell r="F116" t="str">
            <v>Anti-Gaming Detection</v>
          </cell>
          <cell r="G116" t="str">
            <v>gemini</v>
          </cell>
          <cell r="H116" t="str">
            <v>done</v>
          </cell>
          <cell r="J116" t="str">
            <v>codex</v>
          </cell>
        </row>
        <row r="117">
          <cell r="A117" t="str">
            <v>TS-UC-SEC-GAM-001</v>
          </cell>
          <cell r="B117" t="str">
            <v>CORE</v>
          </cell>
          <cell r="C117" t="str">
            <v>test_012_weight_change_tracking_24h_window</v>
          </cell>
          <cell r="F117" t="str">
            <v>Anti-Gaming Detection</v>
          </cell>
          <cell r="G117" t="str">
            <v>gemini</v>
          </cell>
          <cell r="H117" t="str">
            <v>done</v>
          </cell>
          <cell r="J117" t="str">
            <v>codex</v>
          </cell>
        </row>
        <row r="118">
          <cell r="A118" t="str">
            <v>TS-UC-SEC-GAM-001</v>
          </cell>
          <cell r="B118" t="str">
            <v>CORE</v>
          </cell>
          <cell r="C118" t="str">
            <v>test_edge_001_multiple_violations_combined</v>
          </cell>
          <cell r="F118" t="str">
            <v>Anti-Gaming Detection</v>
          </cell>
          <cell r="G118" t="str">
            <v>gemini</v>
          </cell>
          <cell r="H118" t="str">
            <v>done</v>
          </cell>
          <cell r="J118" t="str">
            <v>codex</v>
          </cell>
        </row>
        <row r="119">
          <cell r="A119" t="str">
            <v>TS-UC-SEC-GAM-001</v>
          </cell>
          <cell r="B119" t="str">
            <v>CORE</v>
          </cell>
          <cell r="C119" t="str">
            <v>test_edge_002_violation_penalty_application</v>
          </cell>
          <cell r="F119" t="str">
            <v>Anti-Gaming Detection</v>
          </cell>
          <cell r="G119" t="str">
            <v>gemini</v>
          </cell>
          <cell r="H119" t="str">
            <v>done</v>
          </cell>
          <cell r="J119" t="str">
            <v>codex</v>
          </cell>
        </row>
        <row r="120">
          <cell r="A120" t="str">
            <v>TS-UC-SEC-GAM-001</v>
          </cell>
          <cell r="B120" t="str">
            <v>CORE</v>
          </cell>
          <cell r="C120" t="str">
            <v>test_edge_003_violation_audit_logging</v>
          </cell>
          <cell r="F120" t="str">
            <v>Anti-Gaming Detection</v>
          </cell>
          <cell r="G120" t="str">
            <v>gemini</v>
          </cell>
          <cell r="H120" t="str">
            <v>done</v>
          </cell>
          <cell r="J120" t="str">
            <v>codex</v>
          </cell>
        </row>
        <row r="121">
          <cell r="A121" t="str">
            <v>TS-UD-DOC-CLS-001</v>
          </cell>
          <cell r="B121" t="str">
            <v>DOMAIN-DOCS</v>
          </cell>
          <cell r="C121" t="str">
            <v>test_001_clause_creation_with_all_fields</v>
          </cell>
          <cell r="F121" t="str">
            <v>Clause Entity</v>
          </cell>
          <cell r="G121" t="str">
            <v>gemini</v>
          </cell>
          <cell r="H121" t="str">
            <v>done</v>
          </cell>
          <cell r="I121" t="str">
            <v>apps/api/tests/modules/documents/domain/.</v>
          </cell>
          <cell r="J121" t="str">
            <v>codex</v>
          </cell>
        </row>
        <row r="122">
          <cell r="A122" t="str">
            <v>TS-UD-DOC-CLS-001</v>
          </cell>
          <cell r="B122" t="str">
            <v>DOMAIN-DOCS</v>
          </cell>
          <cell r="C122" t="str">
            <v>test_002_clause_creation_minimum_fields</v>
          </cell>
          <cell r="F122" t="str">
            <v>Clause Entity</v>
          </cell>
          <cell r="G122" t="str">
            <v>gemini</v>
          </cell>
          <cell r="H122" t="str">
            <v>done</v>
          </cell>
          <cell r="J122" t="str">
            <v>codex</v>
          </cell>
        </row>
        <row r="123">
          <cell r="A123" t="str">
            <v>TS-UD-DOC-CLS-001</v>
          </cell>
          <cell r="B123" t="str">
            <v>DOMAIN-DOCS</v>
          </cell>
          <cell r="C123" t="str">
            <v>test_003_clause_creation_fails_without_content</v>
          </cell>
          <cell r="F123" t="str">
            <v>Clause Entity</v>
          </cell>
          <cell r="G123" t="str">
            <v>gemini</v>
          </cell>
          <cell r="H123" t="str">
            <v>done</v>
          </cell>
          <cell r="J123" t="str">
            <v>codex</v>
          </cell>
        </row>
        <row r="124">
          <cell r="A124" t="str">
            <v>TS-UD-DOC-CLS-001</v>
          </cell>
          <cell r="B124" t="str">
            <v>DOMAIN-DOCS</v>
          </cell>
          <cell r="C124" t="str">
            <v>test_004_clause_creation_fails_without_document_id</v>
          </cell>
          <cell r="F124" t="str">
            <v>Clause Entity</v>
          </cell>
          <cell r="G124" t="str">
            <v>gemini</v>
          </cell>
          <cell r="H124" t="str">
            <v>done</v>
          </cell>
          <cell r="J124" t="str">
            <v>codex</v>
          </cell>
        </row>
        <row r="125">
          <cell r="A125" t="str">
            <v>TS-UD-DOC-CLS-001</v>
          </cell>
          <cell r="B125" t="str">
            <v>DOMAIN-DOCS</v>
          </cell>
          <cell r="C125" t="str">
            <v>test_005_clause_creation_fails_without_tenant_id</v>
          </cell>
          <cell r="F125" t="str">
            <v>Clause Entity</v>
          </cell>
          <cell r="G125" t="str">
            <v>gemini</v>
          </cell>
          <cell r="H125" t="str">
            <v>done</v>
          </cell>
          <cell r="J125" t="str">
            <v>codex</v>
          </cell>
        </row>
        <row r="126">
          <cell r="A126" t="str">
            <v>TS-UD-DOC-CLS-001</v>
          </cell>
          <cell r="B126" t="str">
            <v>DOMAIN-DOCS</v>
          </cell>
          <cell r="C126" t="str">
            <v>test_006_clause_immutability_after_creation</v>
          </cell>
          <cell r="F126" t="str">
            <v>Clause Entity</v>
          </cell>
          <cell r="G126" t="str">
            <v>gemini</v>
          </cell>
          <cell r="H126" t="str">
            <v>done</v>
          </cell>
          <cell r="J126" t="str">
            <v>codex</v>
          </cell>
        </row>
        <row r="127">
          <cell r="A127" t="str">
            <v>TS-UD-DOC-CLS-001</v>
          </cell>
          <cell r="B127" t="str">
            <v>DOMAIN-DOCS</v>
          </cell>
          <cell r="C127" t="str">
            <v>test_007_clause_number_format_primera</v>
          </cell>
          <cell r="F127" t="str">
            <v>Clause Entity</v>
          </cell>
          <cell r="G127" t="str">
            <v>gemini</v>
          </cell>
          <cell r="H127" t="str">
            <v>done</v>
          </cell>
          <cell r="J127" t="str">
            <v>codex</v>
          </cell>
        </row>
        <row r="128">
          <cell r="A128" t="str">
            <v>TS-UD-DOC-CLS-001</v>
          </cell>
          <cell r="B128" t="str">
            <v>DOMAIN-DOCS</v>
          </cell>
          <cell r="C128" t="str">
            <v>test_008_clause_number_format_numeric</v>
          </cell>
          <cell r="F128" t="str">
            <v>Clause Entity</v>
          </cell>
          <cell r="G128" t="str">
            <v>gemini</v>
          </cell>
          <cell r="H128" t="str">
            <v>done</v>
          </cell>
          <cell r="J128" t="str">
            <v>codex</v>
          </cell>
        </row>
        <row r="129">
          <cell r="A129" t="str">
            <v>TS-UD-DOC-CLS-001</v>
          </cell>
          <cell r="B129" t="str">
            <v>DOMAIN-DOCS</v>
          </cell>
          <cell r="C129" t="str">
            <v>test_009_clause_number_format_decimal</v>
          </cell>
          <cell r="F129" t="str">
            <v>Clause Entity</v>
          </cell>
          <cell r="G129" t="str">
            <v>gemini</v>
          </cell>
          <cell r="H129" t="str">
            <v>done</v>
          </cell>
          <cell r="J129" t="str">
            <v>codex</v>
          </cell>
        </row>
        <row r="130">
          <cell r="A130" t="str">
            <v>TS-UD-DOC-CLS-001</v>
          </cell>
          <cell r="B130" t="str">
            <v>DOMAIN-DOCS</v>
          </cell>
          <cell r="C130" t="str">
            <v>test_010_clause_number_normalization</v>
          </cell>
          <cell r="F130" t="str">
            <v>Clause Entity</v>
          </cell>
          <cell r="G130" t="str">
            <v>gemini</v>
          </cell>
          <cell r="H130" t="str">
            <v>done</v>
          </cell>
          <cell r="J130" t="str">
            <v>codex</v>
          </cell>
        </row>
        <row r="131">
          <cell r="A131" t="str">
            <v>TS-UD-DOC-CLS-001</v>
          </cell>
          <cell r="B131" t="str">
            <v>DOMAIN-DOCS</v>
          </cell>
          <cell r="C131" t="str">
            <v>test_011_clause_content_max_length</v>
          </cell>
          <cell r="F131" t="str">
            <v>Clause Entity</v>
          </cell>
          <cell r="G131" t="str">
            <v>gemini</v>
          </cell>
          <cell r="H131" t="str">
            <v>done</v>
          </cell>
          <cell r="J131" t="str">
            <v>codex</v>
          </cell>
        </row>
        <row r="132">
          <cell r="A132" t="str">
            <v>TS-UD-DOC-CLS-001</v>
          </cell>
          <cell r="B132" t="str">
            <v>DOMAIN-DOCS</v>
          </cell>
          <cell r="C132" t="str">
            <v>test_012_clause_content_empty_rejected</v>
          </cell>
          <cell r="F132" t="str">
            <v>Clause Entity</v>
          </cell>
          <cell r="G132" t="str">
            <v>gemini</v>
          </cell>
          <cell r="H132" t="str">
            <v>done</v>
          </cell>
          <cell r="J132" t="str">
            <v>codex</v>
          </cell>
        </row>
        <row r="133">
          <cell r="A133" t="str">
            <v>TS-UD-DOC-CLS-001</v>
          </cell>
          <cell r="B133" t="str">
            <v>DOMAIN-DOCS</v>
          </cell>
          <cell r="C133" t="str">
            <v>test_013_clause_document_fk_valid</v>
          </cell>
          <cell r="F133" t="str">
            <v>Clause Entity</v>
          </cell>
          <cell r="G133" t="str">
            <v>gemini</v>
          </cell>
          <cell r="H133" t="str">
            <v>done</v>
          </cell>
          <cell r="J133" t="str">
            <v>codex</v>
          </cell>
        </row>
        <row r="134">
          <cell r="A134" t="str">
            <v>TS-UD-DOC-CLS-001</v>
          </cell>
          <cell r="B134" t="str">
            <v>DOMAIN-DOCS</v>
          </cell>
          <cell r="C134" t="str">
            <v>test_014_clause_document_fk_invalid_rejected</v>
          </cell>
          <cell r="F134" t="str">
            <v>Clause Entity</v>
          </cell>
          <cell r="G134" t="str">
            <v>gemini</v>
          </cell>
          <cell r="H134" t="str">
            <v>done</v>
          </cell>
          <cell r="J134" t="str">
            <v>codex</v>
          </cell>
        </row>
        <row r="135">
          <cell r="A135" t="str">
            <v>TS-UD-DOC-CLS-001</v>
          </cell>
          <cell r="B135" t="str">
            <v>DOMAIN-DOCS</v>
          </cell>
          <cell r="C135" t="str">
            <v>test_015_clause_tenant_fk_valid</v>
          </cell>
          <cell r="F135" t="str">
            <v>Clause Entity</v>
          </cell>
          <cell r="G135" t="str">
            <v>gemini</v>
          </cell>
          <cell r="H135" t="str">
            <v>done</v>
          </cell>
          <cell r="J135" t="str">
            <v>codex</v>
          </cell>
        </row>
        <row r="136">
          <cell r="A136" t="str">
            <v>TS-UD-DOC-CLS-001</v>
          </cell>
          <cell r="B136" t="str">
            <v>DOMAIN-DOCS</v>
          </cell>
          <cell r="C136" t="str">
            <v>test_016_clause_tenant_fk_invalid_rejected</v>
          </cell>
          <cell r="F136" t="str">
            <v>Clause Entity</v>
          </cell>
          <cell r="G136" t="str">
            <v>gemini</v>
          </cell>
          <cell r="H136" t="str">
            <v>done</v>
          </cell>
          <cell r="J136" t="str">
            <v>codex</v>
          </cell>
        </row>
        <row r="137">
          <cell r="A137" t="str">
            <v>TS-UD-DOC-CLS-001</v>
          </cell>
          <cell r="B137" t="str">
            <v>DOMAIN-DOCS</v>
          </cell>
          <cell r="C137" t="str">
            <v>test_017_clause_on_delete_restrict_document</v>
          </cell>
          <cell r="F137" t="str">
            <v>Clause Entity</v>
          </cell>
          <cell r="G137" t="str">
            <v>gemini</v>
          </cell>
          <cell r="H137" t="str">
            <v>done</v>
          </cell>
          <cell r="J137" t="str">
            <v>codex</v>
          </cell>
        </row>
        <row r="138">
          <cell r="A138" t="str">
            <v>TS-UD-DOC-CLS-001</v>
          </cell>
          <cell r="B138" t="str">
            <v>DOMAIN-DOCS</v>
          </cell>
          <cell r="C138" t="str">
            <v>test_018_clause_on_delete_restrict_tenant</v>
          </cell>
          <cell r="F138" t="str">
            <v>Clause Entity</v>
          </cell>
          <cell r="G138" t="str">
            <v>gemini</v>
          </cell>
          <cell r="H138" t="str">
            <v>done</v>
          </cell>
          <cell r="J138" t="str">
            <v>codex</v>
          </cell>
        </row>
        <row r="139">
          <cell r="A139" t="str">
            <v>TS-UD-DOC-CLS-001</v>
          </cell>
          <cell r="B139" t="str">
            <v>DOMAIN-DOCS</v>
          </cell>
          <cell r="C139" t="str">
            <v>test_019_clause_embedding_vector_size</v>
          </cell>
          <cell r="F139" t="str">
            <v>Clause Entity</v>
          </cell>
          <cell r="G139" t="str">
            <v>gemini</v>
          </cell>
          <cell r="H139" t="str">
            <v>done</v>
          </cell>
          <cell r="J139" t="str">
            <v>codex</v>
          </cell>
        </row>
        <row r="140">
          <cell r="A140" t="str">
            <v>TS-UD-DOC-CLS-001</v>
          </cell>
          <cell r="B140" t="str">
            <v>DOMAIN-DOCS</v>
          </cell>
          <cell r="C140" t="str">
            <v>test_020_clause_embedding_generation</v>
          </cell>
          <cell r="F140" t="str">
            <v>Clause Entity</v>
          </cell>
          <cell r="G140" t="str">
            <v>gemini</v>
          </cell>
          <cell r="H140" t="str">
            <v>done</v>
          </cell>
          <cell r="J140" t="str">
            <v>codex</v>
          </cell>
        </row>
        <row r="141">
          <cell r="A141" t="str">
            <v>TS-UD-DOC-CLS-001</v>
          </cell>
          <cell r="B141" t="str">
            <v>DOMAIN-DOCS</v>
          </cell>
          <cell r="C141" t="str">
            <v>test_021_clause_embedding_null_allowed</v>
          </cell>
          <cell r="F141" t="str">
            <v>Clause Entity</v>
          </cell>
          <cell r="G141" t="str">
            <v>gemini</v>
          </cell>
          <cell r="H141" t="str">
            <v>done</v>
          </cell>
          <cell r="J141" t="str">
            <v>codex</v>
          </cell>
        </row>
        <row r="142">
          <cell r="A142" t="str">
            <v>TS-UD-DOC-CLS-001</v>
          </cell>
          <cell r="B142" t="str">
            <v>DOMAIN-DOCS</v>
          </cell>
          <cell r="C142" t="str">
            <v>test_022_clause_embedding_update</v>
          </cell>
          <cell r="F142" t="str">
            <v>Clause Entity</v>
          </cell>
          <cell r="G142" t="str">
            <v>gemini</v>
          </cell>
          <cell r="H142" t="str">
            <v>done</v>
          </cell>
          <cell r="J142" t="str">
            <v>codex</v>
          </cell>
        </row>
        <row r="143">
          <cell r="A143" t="str">
            <v>TS-UD-DOC-CLS-002</v>
          </cell>
          <cell r="B143" t="str">
            <v>DOMAIN-DOCS</v>
          </cell>
          <cell r="C143" t="str">
            <v>Tests not individually listed</v>
          </cell>
          <cell r="F143" t="str">
            <v>Entity Extraction - Dates</v>
          </cell>
          <cell r="G143" t="str">
            <v>gemini</v>
          </cell>
          <cell r="H143" t="str">
            <v>done</v>
          </cell>
          <cell r="I143" t="str">
            <v>apps/api/tests/modules/documents/domain/.</v>
          </cell>
        </row>
        <row r="144">
          <cell r="A144" t="str">
            <v>TS-UD-DOC-CLS-003</v>
          </cell>
          <cell r="B144" t="str">
            <v>DOMAIN-DOCS</v>
          </cell>
          <cell r="C144" t="str">
            <v>Tests not individually listed</v>
          </cell>
          <cell r="F144" t="str">
            <v>Entity Extraction - Dates</v>
          </cell>
          <cell r="G144" t="str">
            <v>gemini</v>
          </cell>
          <cell r="H144" t="str">
            <v>done</v>
          </cell>
        </row>
        <row r="145">
          <cell r="A145" t="str">
            <v>TS-UD-DOC-ENT-001</v>
          </cell>
          <cell r="B145" t="str">
            <v>DOMAIN-DOCS</v>
          </cell>
          <cell r="C145" t="str">
            <v>test_001_date_dd_mm_yyyy_slash</v>
          </cell>
          <cell r="F145" t="str">
            <v>Entity Extraction - Dates</v>
          </cell>
          <cell r="G145" t="str">
            <v>gemini</v>
          </cell>
          <cell r="H145" t="str">
            <v>done</v>
          </cell>
          <cell r="J145" t="str">
            <v>codex</v>
          </cell>
        </row>
        <row r="146">
          <cell r="A146" t="str">
            <v>TS-UD-DOC-ENT-001</v>
          </cell>
          <cell r="B146" t="str">
            <v>DOMAIN-DOCS</v>
          </cell>
          <cell r="C146" t="str">
            <v>test_002_date_yyyy_mm_dd_dash</v>
          </cell>
          <cell r="F146" t="str">
            <v>Entity Extraction - Dates</v>
          </cell>
          <cell r="G146" t="str">
            <v>gemini</v>
          </cell>
          <cell r="H146" t="str">
            <v>done</v>
          </cell>
          <cell r="J146" t="str">
            <v>codex</v>
          </cell>
        </row>
        <row r="147">
          <cell r="A147" t="str">
            <v>TS-UD-DOC-ENT-001</v>
          </cell>
          <cell r="B147" t="str">
            <v>DOMAIN-DOCS</v>
          </cell>
          <cell r="C147" t="str">
            <v>test_003_date_dd_month_yyyy_spanish</v>
          </cell>
          <cell r="F147" t="str">
            <v>Entity Extraction - Dates</v>
          </cell>
          <cell r="G147" t="str">
            <v>gemini</v>
          </cell>
          <cell r="H147" t="str">
            <v>done</v>
          </cell>
          <cell r="J147" t="str">
            <v>codex</v>
          </cell>
        </row>
        <row r="148">
          <cell r="A148" t="str">
            <v>TS-UD-DOC-ENT-001</v>
          </cell>
          <cell r="B148" t="str">
            <v>DOMAIN-DOCS</v>
          </cell>
          <cell r="C148" t="str">
            <v>test_004_date_month_dd_yyyy_english</v>
          </cell>
          <cell r="F148" t="str">
            <v>Entity Extraction - Dates</v>
          </cell>
          <cell r="G148" t="str">
            <v>gemini</v>
          </cell>
          <cell r="H148" t="str">
            <v>done</v>
          </cell>
          <cell r="J148" t="str">
            <v>codex</v>
          </cell>
        </row>
        <row r="149">
          <cell r="A149" t="str">
            <v>TS-UD-DOC-ENT-001</v>
          </cell>
          <cell r="B149" t="str">
            <v>DOMAIN-DOCS</v>
          </cell>
          <cell r="C149" t="str">
            <v>test_005_date_relative_30_days</v>
          </cell>
          <cell r="F149" t="str">
            <v>Entity Extraction - Dates</v>
          </cell>
          <cell r="G149" t="str">
            <v>gemini</v>
          </cell>
          <cell r="H149" t="str">
            <v>done</v>
          </cell>
          <cell r="J149" t="str">
            <v>codex</v>
          </cell>
        </row>
        <row r="150">
          <cell r="A150" t="str">
            <v>TS-UD-DOC-ENT-001</v>
          </cell>
          <cell r="B150" t="str">
            <v>DOMAIN-DOCS</v>
          </cell>
          <cell r="C150" t="str">
            <v>test_006_date_relative_3_months</v>
          </cell>
          <cell r="F150" t="str">
            <v>Entity Extraction - Dates</v>
          </cell>
          <cell r="G150" t="str">
            <v>gemini</v>
          </cell>
          <cell r="H150" t="str">
            <v>done</v>
          </cell>
          <cell r="J150" t="str">
            <v>codex</v>
          </cell>
        </row>
        <row r="151">
          <cell r="A151" t="str">
            <v>TS-UD-DOC-ENT-001</v>
          </cell>
          <cell r="B151" t="str">
            <v>DOMAIN-DOCS</v>
          </cell>
          <cell r="C151" t="str">
            <v>test_007_date_relative_1_year</v>
          </cell>
          <cell r="F151" t="str">
            <v>Entity Extraction - Dates</v>
          </cell>
          <cell r="G151" t="str">
            <v>gemini</v>
          </cell>
          <cell r="H151" t="str">
            <v>done</v>
          </cell>
          <cell r="J151" t="str">
            <v>codex</v>
          </cell>
        </row>
        <row r="152">
          <cell r="A152" t="str">
            <v>TS-UD-DOC-ENT-001</v>
          </cell>
          <cell r="B152" t="str">
            <v>DOMAIN-DOCS</v>
          </cell>
          <cell r="C152" t="str">
            <v>test_008_date_relative_from_date</v>
          </cell>
          <cell r="F152" t="str">
            <v>Entity Extraction - Dates</v>
          </cell>
          <cell r="G152" t="str">
            <v>gemini</v>
          </cell>
          <cell r="H152" t="str">
            <v>done</v>
          </cell>
          <cell r="J152" t="str">
            <v>codex</v>
          </cell>
        </row>
        <row r="153">
          <cell r="A153" t="str">
            <v>TS-UD-DOC-ENT-001</v>
          </cell>
          <cell r="B153" t="str">
            <v>DOMAIN-DOCS</v>
          </cell>
          <cell r="C153" t="str">
            <v>test_009_date_context_entrega</v>
          </cell>
          <cell r="F153" t="str">
            <v>Entity Extraction - Dates</v>
          </cell>
          <cell r="G153" t="str">
            <v>gemini</v>
          </cell>
          <cell r="H153" t="str">
            <v>done</v>
          </cell>
          <cell r="J153" t="str">
            <v>codex</v>
          </cell>
        </row>
        <row r="154">
          <cell r="A154" t="str">
            <v>TS-UD-DOC-ENT-001</v>
          </cell>
          <cell r="B154" t="str">
            <v>DOMAIN-DOCS</v>
          </cell>
          <cell r="C154" t="str">
            <v>test_010_date_context_firma</v>
          </cell>
          <cell r="F154" t="str">
            <v>Entity Extraction - Dates</v>
          </cell>
          <cell r="G154" t="str">
            <v>gemini</v>
          </cell>
          <cell r="H154" t="str">
            <v>done</v>
          </cell>
          <cell r="J154" t="str">
            <v>codex</v>
          </cell>
        </row>
        <row r="155">
          <cell r="A155" t="str">
            <v>TS-UD-DOC-ENT-001</v>
          </cell>
          <cell r="B155" t="str">
            <v>DOMAIN-DOCS</v>
          </cell>
          <cell r="C155" t="str">
            <v>test_011_date_context_inicio</v>
          </cell>
          <cell r="F155" t="str">
            <v>Entity Extraction - Dates</v>
          </cell>
          <cell r="G155" t="str">
            <v>gemini</v>
          </cell>
          <cell r="H155" t="str">
            <v>done</v>
          </cell>
          <cell r="J155" t="str">
            <v>codex</v>
          </cell>
        </row>
        <row r="156">
          <cell r="A156" t="str">
            <v>TS-UD-DOC-ENT-001</v>
          </cell>
          <cell r="B156" t="str">
            <v>DOMAIN-DOCS</v>
          </cell>
          <cell r="C156" t="str">
            <v>test_012_date_context_fin</v>
          </cell>
          <cell r="F156" t="str">
            <v>Entity Extraction - Dates</v>
          </cell>
          <cell r="G156" t="str">
            <v>gemini</v>
          </cell>
          <cell r="H156" t="str">
            <v>done</v>
          </cell>
          <cell r="J156" t="str">
            <v>codex</v>
          </cell>
        </row>
        <row r="157">
          <cell r="A157" t="str">
            <v>TS-UD-DOC-ENT-001</v>
          </cell>
          <cell r="B157" t="str">
            <v>DOMAIN-DOCS</v>
          </cell>
          <cell r="C157" t="str">
            <v>test_013_multiple_dates_extraction</v>
          </cell>
          <cell r="F157" t="str">
            <v>Entity Extraction - Dates</v>
          </cell>
          <cell r="G157" t="str">
            <v>gemini</v>
          </cell>
          <cell r="H157" t="str">
            <v>done</v>
          </cell>
          <cell r="J157" t="str">
            <v>codex</v>
          </cell>
        </row>
        <row r="158">
          <cell r="A158" t="str">
            <v>TS-UD-DOC-ENT-001</v>
          </cell>
          <cell r="B158" t="str">
            <v>DOMAIN-DOCS</v>
          </cell>
          <cell r="C158" t="str">
            <v>test_014_multiple_dates_ordering</v>
          </cell>
          <cell r="F158" t="str">
            <v>Entity Extraction - Dates</v>
          </cell>
          <cell r="G158" t="str">
            <v>gemini</v>
          </cell>
          <cell r="H158" t="str">
            <v>done</v>
          </cell>
          <cell r="J158" t="str">
            <v>codex</v>
          </cell>
        </row>
        <row r="159">
          <cell r="A159" t="str">
            <v>TS-UD-DOC-ENT-001</v>
          </cell>
          <cell r="B159" t="str">
            <v>DOMAIN-DOCS</v>
          </cell>
          <cell r="C159" t="str">
            <v>test_015_date_range_extraction</v>
          </cell>
          <cell r="F159" t="str">
            <v>Entity Extraction - Dates</v>
          </cell>
          <cell r="G159" t="str">
            <v>gemini</v>
          </cell>
          <cell r="H159" t="str">
            <v>done</v>
          </cell>
          <cell r="J159" t="str">
            <v>codex</v>
          </cell>
        </row>
        <row r="160">
          <cell r="A160" t="str">
            <v>TS-UD-DOC-ENT-001</v>
          </cell>
          <cell r="B160" t="str">
            <v>DOMAIN-DOCS</v>
          </cell>
          <cell r="C160" t="str">
            <v>test_016_date_invalid_format_ignored</v>
          </cell>
          <cell r="F160" t="str">
            <v>Entity Extraction - Money</v>
          </cell>
          <cell r="G160" t="str">
            <v>gemini</v>
          </cell>
          <cell r="H160" t="str">
            <v>done</v>
          </cell>
          <cell r="J160" t="str">
            <v>codex</v>
          </cell>
        </row>
        <row r="161">
          <cell r="A161" t="str">
            <v>TS-UD-DOC-ENT-002</v>
          </cell>
          <cell r="B161" t="str">
            <v>DOMAIN-DOCS</v>
          </cell>
          <cell r="C161" t="str">
            <v>test_001_money_eur_symbol_suffix</v>
          </cell>
          <cell r="F161" t="str">
            <v>Entity Extraction - Money</v>
          </cell>
          <cell r="G161" t="str">
            <v>gemini</v>
          </cell>
          <cell r="H161" t="str">
            <v>done</v>
          </cell>
          <cell r="J161" t="str">
            <v>codex</v>
          </cell>
        </row>
        <row r="162">
          <cell r="A162" t="str">
            <v>TS-UD-DOC-ENT-002</v>
          </cell>
          <cell r="B162" t="str">
            <v>DOMAIN-DOCS</v>
          </cell>
          <cell r="C162" t="str">
            <v>test_002_money_eur_symbol_prefix</v>
          </cell>
          <cell r="F162" t="str">
            <v>Entity Extraction - Money</v>
          </cell>
          <cell r="G162" t="str">
            <v>gemini</v>
          </cell>
          <cell r="H162" t="str">
            <v>done</v>
          </cell>
          <cell r="J162" t="str">
            <v>codex</v>
          </cell>
        </row>
        <row r="163">
          <cell r="A163" t="str">
            <v>TS-UD-DOC-ENT-002</v>
          </cell>
          <cell r="B163" t="str">
            <v>DOMAIN-DOCS</v>
          </cell>
          <cell r="C163" t="str">
            <v>test_003_money_eur_word_euros</v>
          </cell>
          <cell r="F163" t="str">
            <v>Entity Extraction - Money</v>
          </cell>
          <cell r="G163" t="str">
            <v>gemini</v>
          </cell>
          <cell r="H163" t="str">
            <v>done</v>
          </cell>
          <cell r="J163" t="str">
            <v>codex</v>
          </cell>
        </row>
        <row r="164">
          <cell r="A164" t="str">
            <v>TS-UD-DOC-ENT-002</v>
          </cell>
          <cell r="B164" t="str">
            <v>DOMAIN-DOCS</v>
          </cell>
          <cell r="C164" t="str">
            <v>test_004_money_eur_thousands_separator</v>
          </cell>
          <cell r="F164" t="str">
            <v>Entity Extraction - Money</v>
          </cell>
          <cell r="G164" t="str">
            <v>gemini</v>
          </cell>
          <cell r="H164" t="str">
            <v>done</v>
          </cell>
          <cell r="J164" t="str">
            <v>codex</v>
          </cell>
        </row>
        <row r="165">
          <cell r="A165" t="str">
            <v>TS-UD-DOC-ENT-002</v>
          </cell>
          <cell r="B165" t="str">
            <v>DOMAIN-DOCS</v>
          </cell>
          <cell r="C165" t="str">
            <v>test_005_money_usd_symbol</v>
          </cell>
          <cell r="F165" t="str">
            <v>Entity Extraction - Money</v>
          </cell>
          <cell r="G165" t="str">
            <v>gemini</v>
          </cell>
          <cell r="H165" t="str">
            <v>done</v>
          </cell>
          <cell r="J165" t="str">
            <v>codex</v>
          </cell>
        </row>
        <row r="166">
          <cell r="A166" t="str">
            <v>TS-UD-DOC-ENT-002</v>
          </cell>
          <cell r="B166" t="str">
            <v>DOMAIN-DOCS</v>
          </cell>
          <cell r="C166" t="str">
            <v>test_006_money_usd_word</v>
          </cell>
          <cell r="F166" t="str">
            <v>Entity Extraction - Money</v>
          </cell>
          <cell r="G166" t="str">
            <v>gemini</v>
          </cell>
          <cell r="H166" t="str">
            <v>done</v>
          </cell>
          <cell r="J166" t="str">
            <v>codex</v>
          </cell>
        </row>
        <row r="167">
          <cell r="A167" t="str">
            <v>TS-UD-DOC-ENT-002</v>
          </cell>
          <cell r="B167" t="str">
            <v>DOMAIN-DOCS</v>
          </cell>
          <cell r="C167" t="str">
            <v>test_007_money_usd_thousands_separator</v>
          </cell>
          <cell r="F167" t="str">
            <v>Entity Extraction - Money</v>
          </cell>
          <cell r="G167" t="str">
            <v>gemini</v>
          </cell>
          <cell r="H167" t="str">
            <v>done</v>
          </cell>
          <cell r="J167" t="str">
            <v>codex</v>
          </cell>
        </row>
        <row r="168">
          <cell r="A168" t="str">
            <v>TS-UD-DOC-ENT-002</v>
          </cell>
          <cell r="B168" t="str">
            <v>DOMAIN-DOCS</v>
          </cell>
          <cell r="C168" t="str">
            <v>test_008_money_context_anticipo</v>
          </cell>
          <cell r="F168" t="str">
            <v>Entity Extraction - Money</v>
          </cell>
          <cell r="G168" t="str">
            <v>gemini</v>
          </cell>
          <cell r="H168" t="str">
            <v>done</v>
          </cell>
          <cell r="J168" t="str">
            <v>codex</v>
          </cell>
        </row>
        <row r="169">
          <cell r="A169" t="str">
            <v>TS-UD-DOC-ENT-002</v>
          </cell>
          <cell r="B169" t="str">
            <v>DOMAIN-DOCS</v>
          </cell>
          <cell r="C169" t="str">
            <v>test_009_money_context_pago_final</v>
          </cell>
          <cell r="F169" t="str">
            <v>Entity Extraction - Money</v>
          </cell>
          <cell r="G169" t="str">
            <v>gemini</v>
          </cell>
          <cell r="H169" t="str">
            <v>done</v>
          </cell>
          <cell r="J169" t="str">
            <v>codex</v>
          </cell>
        </row>
        <row r="170">
          <cell r="A170" t="str">
            <v>TS-UD-DOC-ENT-002</v>
          </cell>
          <cell r="B170" t="str">
            <v>DOMAIN-DOCS</v>
          </cell>
          <cell r="C170" t="str">
            <v>test_010_money_context_penalizacion</v>
          </cell>
          <cell r="F170" t="str">
            <v>Entity Extraction - Money</v>
          </cell>
          <cell r="G170" t="str">
            <v>gemini</v>
          </cell>
          <cell r="H170" t="str">
            <v>done</v>
          </cell>
          <cell r="J170" t="str">
            <v>codex</v>
          </cell>
        </row>
        <row r="171">
          <cell r="A171" t="str">
            <v>TS-UD-DOC-ENT-002</v>
          </cell>
          <cell r="B171" t="str">
            <v>DOMAIN-DOCS</v>
          </cell>
          <cell r="C171" t="str">
            <v>test_011_money_context_total</v>
          </cell>
          <cell r="F171" t="str">
            <v>Entity Extraction - Money</v>
          </cell>
          <cell r="G171" t="str">
            <v>gemini</v>
          </cell>
          <cell r="H171" t="str">
            <v>done</v>
          </cell>
          <cell r="J171" t="str">
            <v>codex</v>
          </cell>
        </row>
        <row r="172">
          <cell r="A172" t="str">
            <v>TS-UD-DOC-ENT-002</v>
          </cell>
          <cell r="B172" t="str">
            <v>DOMAIN-DOCS</v>
          </cell>
          <cell r="C172" t="str">
            <v>test_012_multiple_amounts_extraction</v>
          </cell>
          <cell r="F172" t="str">
            <v>Entity Extraction - Money</v>
          </cell>
          <cell r="G172" t="str">
            <v>gemini</v>
          </cell>
          <cell r="H172" t="str">
            <v>done</v>
          </cell>
          <cell r="J172" t="str">
            <v>codex</v>
          </cell>
        </row>
        <row r="173">
          <cell r="A173" t="str">
            <v>TS-UD-DOC-ENT-002</v>
          </cell>
          <cell r="B173" t="str">
            <v>DOMAIN-DOCS</v>
          </cell>
          <cell r="C173" t="str">
            <v>test_013_money_percentage_extraction</v>
          </cell>
          <cell r="F173" t="str">
            <v>Entity Extraction - Money</v>
          </cell>
          <cell r="G173" t="str">
            <v>gemini</v>
          </cell>
          <cell r="H173" t="str">
            <v>done</v>
          </cell>
          <cell r="J173" t="str">
            <v>codex</v>
          </cell>
        </row>
        <row r="174">
          <cell r="A174" t="str">
            <v>TS-UD-DOC-ENT-002</v>
          </cell>
          <cell r="B174" t="str">
            <v>DOMAIN-DOCS</v>
          </cell>
          <cell r="C174" t="str">
            <v>test_014_money_negative_amount</v>
          </cell>
          <cell r="F174" t="str">
            <v>Entity Extraction - Money</v>
          </cell>
          <cell r="G174" t="str">
            <v>gemini</v>
          </cell>
          <cell r="H174" t="str">
            <v>done</v>
          </cell>
          <cell r="J174" t="str">
            <v>codex</v>
          </cell>
        </row>
        <row r="175">
          <cell r="A175" t="str">
            <v>TS-UD-DOC-ENT-003</v>
          </cell>
          <cell r="B175" t="str">
            <v>DOMAIN-DOCS</v>
          </cell>
          <cell r="C175" t="str">
            <v>Tests not individually listed</v>
          </cell>
          <cell r="J175" t="str">
            <v>codex</v>
          </cell>
        </row>
        <row r="176">
          <cell r="A176" t="str">
            <v>TS-UD-DOC-ENT-004</v>
          </cell>
          <cell r="B176" t="str">
            <v>DOMAIN-DOCS</v>
          </cell>
          <cell r="C176" t="str">
            <v>Tests not individually listed</v>
          </cell>
          <cell r="J176" t="str">
            <v>codex</v>
          </cell>
        </row>
        <row r="177">
          <cell r="A177" t="str">
            <v>TS-UD-DOC-DOC-001</v>
          </cell>
          <cell r="B177" t="str">
            <v>DOMAIN-DOCS</v>
          </cell>
          <cell r="C177" t="str">
            <v>Tests not individually listed</v>
          </cell>
          <cell r="J177" t="str">
            <v>codex</v>
          </cell>
        </row>
        <row r="178">
          <cell r="A178" t="str">
            <v>TS-UD-DOC-CNF-001</v>
          </cell>
          <cell r="B178" t="str">
            <v>DOMAIN-DOCS</v>
          </cell>
          <cell r="C178" t="str">
            <v>Tests not individually listed</v>
          </cell>
          <cell r="J178" t="str">
            <v>codex</v>
          </cell>
        </row>
        <row r="179">
          <cell r="A179" t="str">
            <v>TS-UD-COH-CAT-001</v>
          </cell>
          <cell r="B179" t="str">
            <v>DOMAIN-COHERENCE</v>
          </cell>
          <cell r="C179" t="str">
            <v>Tests not individually listed</v>
          </cell>
          <cell r="J179" t="str">
            <v>codex</v>
          </cell>
        </row>
        <row r="180">
          <cell r="A180" t="str">
            <v>TS-UD-COH-RUL-001</v>
          </cell>
          <cell r="B180" t="str">
            <v>DOMAIN-COHERENCE</v>
          </cell>
          <cell r="C180" t="str">
            <v>test_001_r11_wbs_level4_no_activities_alert</v>
          </cell>
          <cell r="F180" t="str">
            <v>Rules Engine - SCOPE</v>
          </cell>
          <cell r="G180" t="str">
            <v>gemini</v>
          </cell>
          <cell r="H180" t="str">
            <v>done</v>
          </cell>
          <cell r="I180" t="str">
            <v>apps/api/tests/modules/coherence/domain/.</v>
          </cell>
          <cell r="J180" t="str">
            <v>codex</v>
          </cell>
        </row>
        <row r="181">
          <cell r="A181" t="str">
            <v>TS-UD-COH-RUL-001</v>
          </cell>
          <cell r="B181" t="str">
            <v>DOMAIN-COHERENCE</v>
          </cell>
          <cell r="C181" t="str">
            <v>test_002_r11_wbs_level4_with_activities_pass</v>
          </cell>
          <cell r="F181" t="str">
            <v>Rules Engine - SCOPE</v>
          </cell>
          <cell r="G181" t="str">
            <v>gemini</v>
          </cell>
          <cell r="H181" t="str">
            <v>done</v>
          </cell>
          <cell r="J181" t="str">
            <v>codex</v>
          </cell>
        </row>
        <row r="182">
          <cell r="A182" t="str">
            <v>TS-UD-COH-RUL-001</v>
          </cell>
          <cell r="B182" t="str">
            <v>DOMAIN-COHERENCE</v>
          </cell>
          <cell r="C182" t="str">
            <v>test_003_r11_wbs_level3_no_activities_ignored</v>
          </cell>
          <cell r="F182" t="str">
            <v>Rules Engine - SCOPE</v>
          </cell>
          <cell r="G182" t="str">
            <v>gemini</v>
          </cell>
          <cell r="H182" t="str">
            <v>done</v>
          </cell>
          <cell r="J182" t="str">
            <v>codex</v>
          </cell>
        </row>
        <row r="183">
          <cell r="A183" t="str">
            <v>TS-UD-COH-RUL-001</v>
          </cell>
          <cell r="B183" t="str">
            <v>DOMAIN-COHERENCE</v>
          </cell>
          <cell r="C183" t="str">
            <v>test_004_r11_wbs_level2_no_activities_ignored</v>
          </cell>
          <cell r="F183" t="str">
            <v>Rules Engine - SCOPE</v>
          </cell>
          <cell r="G183" t="str">
            <v>gemini</v>
          </cell>
          <cell r="H183" t="str">
            <v>done</v>
          </cell>
          <cell r="J183" t="str">
            <v>codex</v>
          </cell>
        </row>
        <row r="184">
          <cell r="A184" t="str">
            <v>TS-UD-COH-RUL-001</v>
          </cell>
          <cell r="B184" t="str">
            <v>DOMAIN-COHERENCE</v>
          </cell>
          <cell r="C184" t="str">
            <v>test_005_r11_multiple_wbs_level4_violations</v>
          </cell>
          <cell r="F184" t="str">
            <v>Rules Engine - SCOPE</v>
          </cell>
          <cell r="G184" t="str">
            <v>gemini</v>
          </cell>
          <cell r="H184" t="str">
            <v>done</v>
          </cell>
          <cell r="J184" t="str">
            <v>codex</v>
          </cell>
        </row>
        <row r="185">
          <cell r="A185" t="str">
            <v>TS-UD-COH-RUL-001</v>
          </cell>
          <cell r="B185" t="str">
            <v>DOMAIN-COHERENCE</v>
          </cell>
          <cell r="C185" t="str">
            <v>test_006_r11_alert_severity_medium</v>
          </cell>
          <cell r="F185" t="str">
            <v>Rules Engine - SCOPE</v>
          </cell>
          <cell r="G185" t="str">
            <v>gemini</v>
          </cell>
          <cell r="H185" t="str">
            <v>done</v>
          </cell>
          <cell r="J185" t="str">
            <v>codex</v>
          </cell>
        </row>
        <row r="186">
          <cell r="A186" t="str">
            <v>TS-UD-COH-RUL-001</v>
          </cell>
          <cell r="B186" t="str">
            <v>DOMAIN-COHERENCE</v>
          </cell>
          <cell r="C186" t="str">
            <v>test_007_r12_wbs_no_budget_line_alert</v>
          </cell>
          <cell r="F186" t="str">
            <v>Rules Engine - SCOPE</v>
          </cell>
          <cell r="G186" t="str">
            <v>gemini</v>
          </cell>
          <cell r="H186" t="str">
            <v>done</v>
          </cell>
          <cell r="J186" t="str">
            <v>codex</v>
          </cell>
        </row>
        <row r="187">
          <cell r="A187" t="str">
            <v>TS-UD-COH-RUL-001</v>
          </cell>
          <cell r="B187" t="str">
            <v>DOMAIN-COHERENCE</v>
          </cell>
          <cell r="C187" t="str">
            <v>test_008_r12_wbs_with_budget_line_pass</v>
          </cell>
          <cell r="F187" t="str">
            <v>Rules Engine - SCOPE</v>
          </cell>
          <cell r="G187" t="str">
            <v>gemini</v>
          </cell>
          <cell r="H187" t="str">
            <v>done</v>
          </cell>
          <cell r="J187" t="str">
            <v>codex</v>
          </cell>
        </row>
        <row r="188">
          <cell r="A188" t="str">
            <v>TS-UD-COH-RUL-001</v>
          </cell>
          <cell r="B188" t="str">
            <v>DOMAIN-COHERENCE</v>
          </cell>
          <cell r="C188" t="str">
            <v>test_009_r12_wbs_budget_zero_warning</v>
          </cell>
          <cell r="F188" t="str">
            <v>Rules Engine - SCOPE</v>
          </cell>
          <cell r="G188" t="str">
            <v>gemini</v>
          </cell>
          <cell r="H188" t="str">
            <v>done</v>
          </cell>
          <cell r="J188" t="str">
            <v>codex</v>
          </cell>
        </row>
        <row r="189">
          <cell r="A189" t="str">
            <v>TS-UD-COH-RUL-001</v>
          </cell>
          <cell r="B189" t="str">
            <v>DOMAIN-COHERENCE</v>
          </cell>
          <cell r="C189" t="str">
            <v>test_010_r12_multiple_wbs_violations</v>
          </cell>
          <cell r="F189" t="str">
            <v>Rules Engine - SCOPE</v>
          </cell>
          <cell r="G189" t="str">
            <v>gemini</v>
          </cell>
          <cell r="H189" t="str">
            <v>done</v>
          </cell>
          <cell r="J189" t="str">
            <v>codex</v>
          </cell>
        </row>
        <row r="190">
          <cell r="A190" t="str">
            <v>TS-UD-COH-RUL-001</v>
          </cell>
          <cell r="B190" t="str">
            <v>DOMAIN-COHERENCE</v>
          </cell>
          <cell r="C190" t="str">
            <v>test_011_r12_alert_severity_high</v>
          </cell>
          <cell r="F190" t="str">
            <v>Rules Engine - SCOPE</v>
          </cell>
          <cell r="G190" t="str">
            <v>gemini</v>
          </cell>
          <cell r="H190" t="str">
            <v>done</v>
          </cell>
          <cell r="J190" t="str">
            <v>codex</v>
          </cell>
        </row>
        <row r="191">
          <cell r="A191" t="str">
            <v>TS-UD-COH-RUL-001</v>
          </cell>
          <cell r="B191" t="str">
            <v>DOMAIN-COHERENCE</v>
          </cell>
          <cell r="C191" t="str">
            <v>test_012_r12_affected_entities_list</v>
          </cell>
          <cell r="F191" t="str">
            <v>Rules Engine - SCOPE</v>
          </cell>
          <cell r="G191" t="str">
            <v>gemini</v>
          </cell>
          <cell r="H191" t="str">
            <v>done</v>
          </cell>
          <cell r="J191" t="str">
            <v>codex</v>
          </cell>
        </row>
        <row r="192">
          <cell r="A192" t="str">
            <v>TS-UD-COH-RUL-001</v>
          </cell>
          <cell r="B192" t="str">
            <v>DOMAIN-COHERENCE</v>
          </cell>
          <cell r="C192" t="str">
            <v>test_013_r13_scope_clause_no_wbs_alert</v>
          </cell>
          <cell r="F192" t="str">
            <v>Rules Engine - SCOPE</v>
          </cell>
          <cell r="G192" t="str">
            <v>gemini</v>
          </cell>
          <cell r="H192" t="str">
            <v>done</v>
          </cell>
          <cell r="J192" t="str">
            <v>codex</v>
          </cell>
        </row>
        <row r="193">
          <cell r="A193" t="str">
            <v>TS-UD-COH-RUL-001</v>
          </cell>
          <cell r="B193" t="str">
            <v>DOMAIN-COHERENCE</v>
          </cell>
          <cell r="C193" t="str">
            <v>test_014_r13_scope_clause_with_wbs_pass</v>
          </cell>
          <cell r="F193" t="str">
            <v>Rules Engine - SCOPE</v>
          </cell>
          <cell r="G193" t="str">
            <v>gemini</v>
          </cell>
          <cell r="H193" t="str">
            <v>done</v>
          </cell>
          <cell r="J193" t="str">
            <v>codex</v>
          </cell>
        </row>
        <row r="194">
          <cell r="A194" t="str">
            <v>TS-UD-COH-RUL-001</v>
          </cell>
          <cell r="B194" t="str">
            <v>DOMAIN-COHERENCE</v>
          </cell>
          <cell r="C194" t="str">
            <v>test_015_r13_partial_coverage_calculation</v>
          </cell>
          <cell r="F194" t="str">
            <v>Rules Engine - SCOPE</v>
          </cell>
          <cell r="G194" t="str">
            <v>gemini</v>
          </cell>
          <cell r="H194" t="str">
            <v>done</v>
          </cell>
          <cell r="J194" t="str">
            <v>codex</v>
          </cell>
        </row>
        <row r="195">
          <cell r="A195" t="str">
            <v>TS-UD-COH-RUL-001</v>
          </cell>
          <cell r="B195" t="str">
            <v>DOMAIN-COHERENCE</v>
          </cell>
          <cell r="C195" t="str">
            <v>test_016_r13_coverage_percentage_80</v>
          </cell>
          <cell r="F195" t="str">
            <v>Rules Engine - SCOPE</v>
          </cell>
          <cell r="G195" t="str">
            <v>gemini</v>
          </cell>
          <cell r="H195" t="str">
            <v>done</v>
          </cell>
          <cell r="J195" t="str">
            <v>codex</v>
          </cell>
        </row>
        <row r="196">
          <cell r="A196" t="str">
            <v>TS-UD-COH-RUL-001</v>
          </cell>
          <cell r="B196" t="str">
            <v>DOMAIN-COHERENCE</v>
          </cell>
          <cell r="C196" t="str">
            <v>test_017_r13_uncovered_clauses_list</v>
          </cell>
          <cell r="F196" t="str">
            <v>Rules Engine - SCOPE</v>
          </cell>
          <cell r="G196" t="str">
            <v>gemini</v>
          </cell>
          <cell r="H196" t="str">
            <v>done</v>
          </cell>
          <cell r="J196" t="str">
            <v>codex</v>
          </cell>
        </row>
        <row r="197">
          <cell r="A197" t="str">
            <v>TS-UD-COH-RUL-001</v>
          </cell>
          <cell r="B197" t="str">
            <v>DOMAIN-COHERENCE</v>
          </cell>
          <cell r="C197" t="str">
            <v>test_018_r13_alert_severity_high</v>
          </cell>
          <cell r="F197" t="str">
            <v>Rules Engine - BUDGET</v>
          </cell>
          <cell r="G197" t="str">
            <v>gemini</v>
          </cell>
          <cell r="H197" t="str">
            <v>done</v>
          </cell>
          <cell r="J197" t="str">
            <v>codex</v>
          </cell>
        </row>
        <row r="198">
          <cell r="A198" t="str">
            <v>TS-UD-COH-RUL-002</v>
          </cell>
          <cell r="B198" t="str">
            <v>DOMAIN-COHERENCE</v>
          </cell>
          <cell r="C198" t="str">
            <v>test_001_r6_deviation_10_percent_alert</v>
          </cell>
          <cell r="F198" t="str">
            <v>Rules Engine - BUDGET</v>
          </cell>
          <cell r="G198" t="str">
            <v>gemini</v>
          </cell>
          <cell r="H198" t="str">
            <v>done</v>
          </cell>
          <cell r="J198" t="str">
            <v>codex</v>
          </cell>
        </row>
        <row r="199">
          <cell r="A199" t="str">
            <v>TS-UD-COH-RUL-002</v>
          </cell>
          <cell r="B199" t="str">
            <v>DOMAIN-COHERENCE</v>
          </cell>
          <cell r="C199" t="str">
            <v>test_002_r6_deviation_5_percent_pass</v>
          </cell>
          <cell r="F199" t="str">
            <v>Rules Engine - BUDGET</v>
          </cell>
          <cell r="G199" t="str">
            <v>gemini</v>
          </cell>
          <cell r="H199" t="str">
            <v>done</v>
          </cell>
          <cell r="J199" t="str">
            <v>codex</v>
          </cell>
        </row>
        <row r="200">
          <cell r="A200" t="str">
            <v>TS-UD-COH-RUL-002</v>
          </cell>
          <cell r="B200" t="str">
            <v>DOMAIN-COHERENCE</v>
          </cell>
          <cell r="C200" t="str">
            <v>test_003_r6_deviation_4_9_percent_pass</v>
          </cell>
          <cell r="F200" t="str">
            <v>Rules Engine - BUDGET</v>
          </cell>
          <cell r="G200" t="str">
            <v>gemini</v>
          </cell>
          <cell r="H200" t="str">
            <v>done</v>
          </cell>
          <cell r="J200" t="str">
            <v>codex</v>
          </cell>
        </row>
        <row r="201">
          <cell r="A201" t="str">
            <v>TS-UD-COH-RUL-002</v>
          </cell>
          <cell r="B201" t="str">
            <v>DOMAIN-COHERENCE</v>
          </cell>
          <cell r="C201" t="str">
            <v>test_004_r6_over_budget_critical</v>
          </cell>
          <cell r="F201" t="str">
            <v>Rules Engine - BUDGET</v>
          </cell>
          <cell r="G201" t="str">
            <v>gemini</v>
          </cell>
          <cell r="H201" t="str">
            <v>done</v>
          </cell>
          <cell r="J201" t="str">
            <v>codex</v>
          </cell>
        </row>
        <row r="202">
          <cell r="A202" t="str">
            <v>TS-UD-COH-RUL-002</v>
          </cell>
          <cell r="B202" t="str">
            <v>DOMAIN-COHERENCE</v>
          </cell>
          <cell r="C202" t="str">
            <v>test_005_r6_under_budget_warning</v>
          </cell>
          <cell r="F202" t="str">
            <v>Rules Engine - BUDGET</v>
          </cell>
          <cell r="G202" t="str">
            <v>gemini</v>
          </cell>
          <cell r="H202" t="str">
            <v>done</v>
          </cell>
          <cell r="J202" t="str">
            <v>codex</v>
          </cell>
        </row>
        <row r="203">
          <cell r="A203" t="str">
            <v>TS-UD-COH-RUL-002</v>
          </cell>
          <cell r="B203" t="str">
            <v>DOMAIN-COHERENCE</v>
          </cell>
          <cell r="C203" t="str">
            <v>test_006_r6_exact_match_pass</v>
          </cell>
          <cell r="F203" t="str">
            <v>Rules Engine - BUDGET</v>
          </cell>
          <cell r="G203" t="str">
            <v>gemini</v>
          </cell>
          <cell r="H203" t="str">
            <v>done</v>
          </cell>
          <cell r="J203" t="str">
            <v>codex</v>
          </cell>
        </row>
        <row r="204">
          <cell r="A204" t="str">
            <v>TS-UD-COH-RUL-002</v>
          </cell>
          <cell r="B204" t="str">
            <v>DOMAIN-COHERENCE</v>
          </cell>
          <cell r="C204" t="str">
            <v>test_007_r15_bom_no_budget_alert</v>
          </cell>
          <cell r="F204" t="str">
            <v>Rules Engine - BUDGET</v>
          </cell>
          <cell r="G204" t="str">
            <v>gemini</v>
          </cell>
          <cell r="H204" t="str">
            <v>done</v>
          </cell>
          <cell r="J204" t="str">
            <v>codex</v>
          </cell>
        </row>
        <row r="205">
          <cell r="A205" t="str">
            <v>TS-UD-COH-RUL-002</v>
          </cell>
          <cell r="B205" t="str">
            <v>DOMAIN-COHERENCE</v>
          </cell>
          <cell r="C205" t="str">
            <v>test_008_r15_bom_with_budget_pass</v>
          </cell>
          <cell r="F205" t="str">
            <v>Rules Engine - BUDGET</v>
          </cell>
          <cell r="G205" t="str">
            <v>gemini</v>
          </cell>
          <cell r="H205" t="str">
            <v>done</v>
          </cell>
          <cell r="J205" t="str">
            <v>codex</v>
          </cell>
        </row>
        <row r="206">
          <cell r="A206" t="str">
            <v>TS-UD-COH-RUL-002</v>
          </cell>
          <cell r="B206" t="str">
            <v>DOMAIN-COHERENCE</v>
          </cell>
          <cell r="C206" t="str">
            <v>test_009_r15_bom_client_provided_exception</v>
          </cell>
          <cell r="F206" t="str">
            <v>Rules Engine - BUDGET</v>
          </cell>
          <cell r="G206" t="str">
            <v>gemini</v>
          </cell>
          <cell r="H206" t="str">
            <v>done</v>
          </cell>
          <cell r="J206" t="str">
            <v>codex</v>
          </cell>
        </row>
        <row r="207">
          <cell r="A207" t="str">
            <v>TS-UD-COH-RUL-002</v>
          </cell>
          <cell r="B207" t="str">
            <v>DOMAIN-COHERENCE</v>
          </cell>
          <cell r="C207" t="str">
            <v>test_010_r15_multiple_bom_violations</v>
          </cell>
          <cell r="F207" t="str">
            <v>Rules Engine - BUDGET</v>
          </cell>
          <cell r="G207" t="str">
            <v>gemini</v>
          </cell>
          <cell r="H207" t="str">
            <v>done</v>
          </cell>
          <cell r="J207" t="str">
            <v>codex</v>
          </cell>
        </row>
        <row r="208">
          <cell r="A208" t="str">
            <v>TS-UD-COH-RUL-002</v>
          </cell>
          <cell r="B208" t="str">
            <v>DOMAIN-COHERENCE</v>
          </cell>
          <cell r="C208" t="str">
            <v>test_011_r15_affected_items_list</v>
          </cell>
          <cell r="F208" t="str">
            <v>Rules Engine - BUDGET</v>
          </cell>
          <cell r="G208" t="str">
            <v>gemini</v>
          </cell>
          <cell r="H208" t="str">
            <v>done</v>
          </cell>
          <cell r="J208" t="str">
            <v>codex</v>
          </cell>
        </row>
        <row r="209">
          <cell r="A209" t="str">
            <v>TS-UD-COH-RUL-002</v>
          </cell>
          <cell r="B209" t="str">
            <v>DOMAIN-COHERENCE</v>
          </cell>
          <cell r="C209" t="str">
            <v>test_012_r16_deviation_11_percent_alert</v>
          </cell>
          <cell r="F209" t="str">
            <v>Rules Engine - BUDGET</v>
          </cell>
          <cell r="G209" t="str">
            <v>gemini</v>
          </cell>
          <cell r="H209" t="str">
            <v>done</v>
          </cell>
          <cell r="J209" t="str">
            <v>codex</v>
          </cell>
        </row>
        <row r="210">
          <cell r="A210" t="str">
            <v>TS-UD-COH-RUL-002</v>
          </cell>
          <cell r="B210" t="str">
            <v>DOMAIN-COHERENCE</v>
          </cell>
          <cell r="C210" t="str">
            <v>test_013_r16_deviation_10_percent_pass</v>
          </cell>
          <cell r="F210" t="str">
            <v>Rules Engine - BUDGET</v>
          </cell>
          <cell r="G210" t="str">
            <v>gemini</v>
          </cell>
          <cell r="H210" t="str">
            <v>done</v>
          </cell>
          <cell r="J210" t="str">
            <v>codex</v>
          </cell>
        </row>
        <row r="211">
          <cell r="A211" t="str">
            <v>TS-UD-COH-RUL-002</v>
          </cell>
          <cell r="B211" t="str">
            <v>DOMAIN-COHERENCE</v>
          </cell>
          <cell r="C211" t="str">
            <v>test_014_r16_over_budget_critical</v>
          </cell>
          <cell r="F211" t="str">
            <v>Rules Engine - BUDGET</v>
          </cell>
          <cell r="G211" t="str">
            <v>gemini</v>
          </cell>
          <cell r="H211" t="str">
            <v>done</v>
          </cell>
          <cell r="J211" t="str">
            <v>codex</v>
          </cell>
        </row>
        <row r="212">
          <cell r="A212" t="str">
            <v>TS-UD-COH-RUL-002</v>
          </cell>
          <cell r="B212" t="str">
            <v>DOMAIN-COHERENCE</v>
          </cell>
          <cell r="C212" t="str">
            <v>test_015_r16_under_budget_different_severity</v>
          </cell>
          <cell r="F212" t="str">
            <v>Rules Engine - BUDGET</v>
          </cell>
          <cell r="G212" t="str">
            <v>gemini</v>
          </cell>
          <cell r="H212" t="str">
            <v>done</v>
          </cell>
          <cell r="J212" t="str">
            <v>codex</v>
          </cell>
        </row>
        <row r="213">
          <cell r="A213" t="str">
            <v>TS-UD-COH-RUL-002</v>
          </cell>
          <cell r="B213" t="str">
            <v>DOMAIN-COHERENCE</v>
          </cell>
          <cell r="C213" t="str">
            <v>test_016_r16_trend_calculation</v>
          </cell>
          <cell r="F213" t="str">
            <v>Rules Engine - BUDGET</v>
          </cell>
          <cell r="G213" t="str">
            <v>gemini</v>
          </cell>
          <cell r="H213" t="str">
            <v>done</v>
          </cell>
          <cell r="J213" t="str">
            <v>codex</v>
          </cell>
        </row>
        <row r="214">
          <cell r="A214" t="str">
            <v>TS-UD-COH-RUL-003</v>
          </cell>
          <cell r="B214" t="str">
            <v>DOMAIN-COHERENCE</v>
          </cell>
          <cell r="C214" t="str">
            <v>test_001_r1_dates_mismatch_alert</v>
          </cell>
          <cell r="F214" t="str">
            <v>Rules Engine - TIME</v>
          </cell>
          <cell r="G214" t="str">
            <v>gemini</v>
          </cell>
          <cell r="H214" t="str">
            <v>done</v>
          </cell>
          <cell r="I214" t="str">
            <v>apps/api/tests/modules/coherence/domain/.</v>
          </cell>
          <cell r="J214" t="str">
            <v>codex</v>
          </cell>
        </row>
        <row r="215">
          <cell r="A215" t="str">
            <v>TS-UD-COH-RUL-003</v>
          </cell>
          <cell r="B215" t="str">
            <v>DOMAIN-COHERENCE</v>
          </cell>
          <cell r="C215" t="str">
            <v>test_002_r1_dates_match_pass</v>
          </cell>
          <cell r="F215" t="str">
            <v>Rules Engine - TIME</v>
          </cell>
          <cell r="G215" t="str">
            <v>gemini</v>
          </cell>
          <cell r="H215" t="str">
            <v>done</v>
          </cell>
          <cell r="J215" t="str">
            <v>codex</v>
          </cell>
        </row>
        <row r="216">
          <cell r="A216" t="str">
            <v>TS-UD-COH-RUL-003</v>
          </cell>
          <cell r="B216" t="str">
            <v>DOMAIN-COHERENCE</v>
          </cell>
          <cell r="C216" t="str">
            <v>test_003_r1_schedule_late_critical</v>
          </cell>
          <cell r="F216" t="str">
            <v>Rules Engine - TIME</v>
          </cell>
          <cell r="G216" t="str">
            <v>gemini</v>
          </cell>
          <cell r="H216" t="str">
            <v>done</v>
          </cell>
          <cell r="J216" t="str">
            <v>codex</v>
          </cell>
        </row>
        <row r="217">
          <cell r="A217" t="str">
            <v>TS-UD-COH-RUL-003</v>
          </cell>
          <cell r="B217" t="str">
            <v>DOMAIN-COHERENCE</v>
          </cell>
          <cell r="C217" t="str">
            <v>test_004_r1_schedule_early_warning</v>
          </cell>
          <cell r="F217" t="str">
            <v>Rules Engine - TIME</v>
          </cell>
          <cell r="G217" t="str">
            <v>gemini</v>
          </cell>
          <cell r="H217" t="str">
            <v>done</v>
          </cell>
          <cell r="J217" t="str">
            <v>codex</v>
          </cell>
        </row>
        <row r="218">
          <cell r="A218" t="str">
            <v>TS-UD-COH-RUL-003</v>
          </cell>
          <cell r="B218" t="str">
            <v>DOMAIN-COHERENCE</v>
          </cell>
          <cell r="C218" t="str">
            <v>test_005_r1_delta_days_calculation</v>
          </cell>
          <cell r="F218" t="str">
            <v>Rules Engine - TIME</v>
          </cell>
          <cell r="G218" t="str">
            <v>gemini</v>
          </cell>
          <cell r="H218" t="str">
            <v>done</v>
          </cell>
          <cell r="J218" t="str">
            <v>codex</v>
          </cell>
        </row>
        <row r="219">
          <cell r="A219" t="str">
            <v>TS-UD-COH-RUL-003</v>
          </cell>
          <cell r="B219" t="str">
            <v>DOMAIN-COHERENCE</v>
          </cell>
          <cell r="C219" t="str">
            <v>test_006_r2_milestone_no_activity_alert</v>
          </cell>
          <cell r="F219" t="str">
            <v>Rules Engine - TIME</v>
          </cell>
          <cell r="G219" t="str">
            <v>gemini</v>
          </cell>
          <cell r="H219" t="str">
            <v>done</v>
          </cell>
          <cell r="J219" t="str">
            <v>codex</v>
          </cell>
        </row>
        <row r="220">
          <cell r="A220" t="str">
            <v>TS-UD-COH-RUL-003</v>
          </cell>
          <cell r="B220" t="str">
            <v>DOMAIN-COHERENCE</v>
          </cell>
          <cell r="C220" t="str">
            <v>test_007_r2_milestone_with_activity_pass</v>
          </cell>
          <cell r="F220" t="str">
            <v>Rules Engine - TIME</v>
          </cell>
          <cell r="G220" t="str">
            <v>gemini</v>
          </cell>
          <cell r="H220" t="str">
            <v>done</v>
          </cell>
          <cell r="J220" t="str">
            <v>codex</v>
          </cell>
        </row>
        <row r="221">
          <cell r="A221" t="str">
            <v>TS-UD-COH-RUL-003</v>
          </cell>
          <cell r="B221" t="str">
            <v>DOMAIN-COHERENCE</v>
          </cell>
          <cell r="C221" t="str">
            <v>test_008_r2_milestone_date_mismatch_alert</v>
          </cell>
          <cell r="F221" t="str">
            <v>Rules Engine - TIME</v>
          </cell>
          <cell r="G221" t="str">
            <v>gemini</v>
          </cell>
          <cell r="H221" t="str">
            <v>done</v>
          </cell>
          <cell r="J221" t="str">
            <v>codex</v>
          </cell>
        </row>
        <row r="222">
          <cell r="A222" t="str">
            <v>TS-UD-COH-RUL-003</v>
          </cell>
          <cell r="B222" t="str">
            <v>DOMAIN-COHERENCE</v>
          </cell>
          <cell r="C222" t="str">
            <v>test_009_r2_multiple_milestones_violations</v>
          </cell>
          <cell r="F222" t="str">
            <v>Rules Engine - TIME</v>
          </cell>
          <cell r="G222" t="str">
            <v>gemini</v>
          </cell>
          <cell r="H222" t="str">
            <v>done</v>
          </cell>
          <cell r="J222" t="str">
            <v>codex</v>
          </cell>
        </row>
        <row r="223">
          <cell r="A223" t="str">
            <v>TS-UD-COH-RUL-003</v>
          </cell>
          <cell r="B223" t="str">
            <v>DOMAIN-COHERENCE</v>
          </cell>
          <cell r="C223" t="str">
            <v>test_010_r2_unlinked_milestones_list</v>
          </cell>
          <cell r="F223" t="str">
            <v>Rules Engine - TIME</v>
          </cell>
          <cell r="G223" t="str">
            <v>gemini</v>
          </cell>
          <cell r="H223" t="str">
            <v>done</v>
          </cell>
          <cell r="J223" t="str">
            <v>codex</v>
          </cell>
        </row>
        <row r="224">
          <cell r="A224" t="str">
            <v>TS-UD-COH-RUL-003</v>
          </cell>
          <cell r="B224" t="str">
            <v>DOMAIN-COHERENCE</v>
          </cell>
          <cell r="C224" t="str">
            <v>test_011_r5_activity_exceeds_contract_alert</v>
          </cell>
          <cell r="F224" t="str">
            <v>Rules Engine - TIME</v>
          </cell>
          <cell r="G224" t="str">
            <v>gemini</v>
          </cell>
          <cell r="H224" t="str">
            <v>done</v>
          </cell>
          <cell r="J224" t="str">
            <v>codex</v>
          </cell>
        </row>
        <row r="225">
          <cell r="A225" t="str">
            <v>TS-UD-COH-RUL-003</v>
          </cell>
          <cell r="B225" t="str">
            <v>DOMAIN-COHERENCE</v>
          </cell>
          <cell r="C225" t="str">
            <v>test_012_r5_activity_within_contract_pass</v>
          </cell>
          <cell r="F225" t="str">
            <v>Rules Engine - TIME</v>
          </cell>
          <cell r="G225" t="str">
            <v>gemini</v>
          </cell>
          <cell r="H225" t="str">
            <v>done</v>
          </cell>
          <cell r="J225" t="str">
            <v>codex</v>
          </cell>
        </row>
        <row r="226">
          <cell r="A226" t="str">
            <v>TS-UD-COH-RUL-003</v>
          </cell>
          <cell r="B226" t="str">
            <v>DOMAIN-COHERENCE</v>
          </cell>
          <cell r="C226" t="str">
            <v>test_013_r5_exceeding_activities_list</v>
          </cell>
          <cell r="F226" t="str">
            <v>Rules Engine - TIME</v>
          </cell>
          <cell r="G226" t="str">
            <v>gemini</v>
          </cell>
          <cell r="H226" t="str">
            <v>done</v>
          </cell>
          <cell r="J226" t="str">
            <v>codex</v>
          </cell>
        </row>
        <row r="227">
          <cell r="A227" t="str">
            <v>TS-UD-COH-RUL-003</v>
          </cell>
          <cell r="B227" t="str">
            <v>DOMAIN-COHERENCE</v>
          </cell>
          <cell r="C227" t="str">
            <v>test_014_r5_alert_severity_critical</v>
          </cell>
          <cell r="F227" t="str">
            <v>Rules Engine - TIME</v>
          </cell>
          <cell r="G227" t="str">
            <v>gemini</v>
          </cell>
          <cell r="H227" t="str">
            <v>done</v>
          </cell>
          <cell r="J227" t="str">
            <v>codex</v>
          </cell>
        </row>
        <row r="228">
          <cell r="A228" t="str">
            <v>TS-UD-COH-RUL-003</v>
          </cell>
          <cell r="B228" t="str">
            <v>DOMAIN-COHERENCE</v>
          </cell>
          <cell r="C228" t="str">
            <v>test_015_r14_order_date_passed_critical</v>
          </cell>
          <cell r="F228" t="str">
            <v>Rules Engine - TIME</v>
          </cell>
          <cell r="G228" t="str">
            <v>gemini</v>
          </cell>
          <cell r="H228" t="str">
            <v>done</v>
          </cell>
          <cell r="J228" t="str">
            <v>codex</v>
          </cell>
        </row>
        <row r="229">
          <cell r="A229" t="str">
            <v>TS-UD-COH-RUL-003</v>
          </cell>
          <cell r="B229" t="str">
            <v>DOMAIN-COHERENCE</v>
          </cell>
          <cell r="C229" t="str">
            <v>test_016_r14_order_date_tight_warning</v>
          </cell>
          <cell r="F229" t="str">
            <v>Rules Engine - TIME</v>
          </cell>
          <cell r="G229" t="str">
            <v>gemini</v>
          </cell>
          <cell r="H229" t="str">
            <v>done</v>
          </cell>
          <cell r="J229" t="str">
            <v>codex</v>
          </cell>
        </row>
        <row r="230">
          <cell r="A230" t="str">
            <v>TS-UD-COH-RUL-004</v>
          </cell>
          <cell r="B230" t="str">
            <v>DOMAIN-COHERENCE</v>
          </cell>
          <cell r="C230" t="str">
            <v>Tests not individually listed</v>
          </cell>
          <cell r="J230" t="str">
            <v>codex</v>
          </cell>
        </row>
        <row r="231">
          <cell r="A231" t="str">
            <v>TS-UD-COH-RUL-005</v>
          </cell>
          <cell r="B231" t="str">
            <v>DOMAIN-COHERENCE</v>
          </cell>
          <cell r="C231" t="str">
            <v>Tests not individually listed</v>
          </cell>
          <cell r="J231" t="str">
            <v>codex</v>
          </cell>
        </row>
        <row r="232">
          <cell r="A232" t="str">
            <v>TS-UD-COH-RUL-006</v>
          </cell>
          <cell r="B232" t="str">
            <v>DOMAIN-COHERENCE</v>
          </cell>
          <cell r="C232" t="str">
            <v>Tests not individually listed</v>
          </cell>
          <cell r="J232" t="str">
            <v>codex</v>
          </cell>
        </row>
        <row r="233">
          <cell r="A233" t="str">
            <v>TS-UD-COH-SCR-001</v>
          </cell>
          <cell r="B233" t="str">
            <v>DOMAIN-COHERENCE</v>
          </cell>
          <cell r="C233" t="str">
            <v>test_001_subscore_no_alerts_100_percent</v>
          </cell>
          <cell r="F233" t="str">
            <v>Score Calculator - SubScores</v>
          </cell>
          <cell r="G233" t="str">
            <v>gemini</v>
          </cell>
          <cell r="H233" t="str">
            <v>done</v>
          </cell>
          <cell r="I233" t="str">
            <v>apps/api/tests/modules/coherence/domain/.</v>
          </cell>
          <cell r="J233" t="str">
            <v>codex</v>
          </cell>
        </row>
        <row r="234">
          <cell r="A234" t="str">
            <v>TS-UD-COH-SCR-001</v>
          </cell>
          <cell r="B234" t="str">
            <v>DOMAIN-COHERENCE</v>
          </cell>
          <cell r="C234" t="str">
            <v>test_002_subscore_one_alert_penalized</v>
          </cell>
          <cell r="F234" t="str">
            <v>Score Calculator - SubScores</v>
          </cell>
          <cell r="G234" t="str">
            <v>gemini</v>
          </cell>
          <cell r="H234" t="str">
            <v>done</v>
          </cell>
          <cell r="J234" t="str">
            <v>codex</v>
          </cell>
        </row>
        <row r="235">
          <cell r="A235" t="str">
            <v>TS-UD-COH-SCR-001</v>
          </cell>
          <cell r="B235" t="str">
            <v>DOMAIN-COHERENCE</v>
          </cell>
          <cell r="C235" t="str">
            <v>test_003_subscore_multiple_alerts_cumulative</v>
          </cell>
          <cell r="F235" t="str">
            <v>Score Calculator - SubScores</v>
          </cell>
          <cell r="G235" t="str">
            <v>gemini</v>
          </cell>
          <cell r="H235" t="str">
            <v>done</v>
          </cell>
          <cell r="J235" t="str">
            <v>codex</v>
          </cell>
        </row>
        <row r="236">
          <cell r="A236" t="str">
            <v>TS-UD-COH-SCR-001</v>
          </cell>
          <cell r="B236" t="str">
            <v>DOMAIN-COHERENCE</v>
          </cell>
          <cell r="C236" t="str">
            <v>test_004_subscore_severity_low_penalty_5</v>
          </cell>
          <cell r="F236" t="str">
            <v>Score Calculator - SubScores</v>
          </cell>
          <cell r="G236" t="str">
            <v>gemini</v>
          </cell>
          <cell r="H236" t="str">
            <v>done</v>
          </cell>
          <cell r="J236" t="str">
            <v>codex</v>
          </cell>
        </row>
        <row r="237">
          <cell r="A237" t="str">
            <v>TS-UD-COH-SCR-001</v>
          </cell>
          <cell r="B237" t="str">
            <v>DOMAIN-COHERENCE</v>
          </cell>
          <cell r="C237" t="str">
            <v>test_005_subscore_severity_medium_penalty_10</v>
          </cell>
          <cell r="F237" t="str">
            <v>Score Calculator - SubScores</v>
          </cell>
          <cell r="G237" t="str">
            <v>gemini</v>
          </cell>
          <cell r="H237" t="str">
            <v>done</v>
          </cell>
          <cell r="J237" t="str">
            <v>codex</v>
          </cell>
        </row>
        <row r="238">
          <cell r="A238" t="str">
            <v>TS-UD-COH-SCR-001</v>
          </cell>
          <cell r="B238" t="str">
            <v>DOMAIN-COHERENCE</v>
          </cell>
          <cell r="C238" t="str">
            <v>test_006_subscore_severity_high_penalty_20</v>
          </cell>
          <cell r="F238" t="str">
            <v>Score Calculator - SubScores</v>
          </cell>
          <cell r="G238" t="str">
            <v>gemini</v>
          </cell>
          <cell r="H238" t="str">
            <v>done</v>
          </cell>
          <cell r="J238" t="str">
            <v>codex</v>
          </cell>
        </row>
        <row r="239">
          <cell r="A239" t="str">
            <v>TS-UD-COH-SCR-001</v>
          </cell>
          <cell r="B239" t="str">
            <v>DOMAIN-COHERENCE</v>
          </cell>
          <cell r="C239" t="str">
            <v>test_007_subscore_severity_critical_penalty_30</v>
          </cell>
          <cell r="F239" t="str">
            <v>Score Calculator - SubScores</v>
          </cell>
          <cell r="G239" t="str">
            <v>gemini</v>
          </cell>
          <cell r="H239" t="str">
            <v>done</v>
          </cell>
          <cell r="J239" t="str">
            <v>codex</v>
          </cell>
        </row>
        <row r="240">
          <cell r="A240" t="str">
            <v>TS-UD-COH-SCR-001</v>
          </cell>
          <cell r="B240" t="str">
            <v>DOMAIN-COHERENCE</v>
          </cell>
          <cell r="C240" t="str">
            <v>test_008_subscore_scope_calculation</v>
          </cell>
          <cell r="F240" t="str">
            <v>Score Calculator - SubScores</v>
          </cell>
          <cell r="G240" t="str">
            <v>gemini</v>
          </cell>
          <cell r="H240" t="str">
            <v>done</v>
          </cell>
          <cell r="J240" t="str">
            <v>codex</v>
          </cell>
        </row>
        <row r="241">
          <cell r="A241" t="str">
            <v>TS-UD-COH-SCR-001</v>
          </cell>
          <cell r="B241" t="str">
            <v>DOMAIN-COHERENCE</v>
          </cell>
          <cell r="C241" t="str">
            <v>test_009_subscore_budget_calculation</v>
          </cell>
          <cell r="F241" t="str">
            <v>Score Calculator - SubScores</v>
          </cell>
          <cell r="G241" t="str">
            <v>gemini</v>
          </cell>
          <cell r="H241" t="str">
            <v>done</v>
          </cell>
          <cell r="J241" t="str">
            <v>codex</v>
          </cell>
        </row>
        <row r="242">
          <cell r="A242" t="str">
            <v>TS-UD-COH-SCR-001</v>
          </cell>
          <cell r="B242" t="str">
            <v>DOMAIN-COHERENCE</v>
          </cell>
          <cell r="C242" t="str">
            <v>test_010_subscore_quality_calculation</v>
          </cell>
          <cell r="F242" t="str">
            <v>Score Calculator - SubScores</v>
          </cell>
          <cell r="G242" t="str">
            <v>gemini</v>
          </cell>
          <cell r="H242" t="str">
            <v>done</v>
          </cell>
          <cell r="J242" t="str">
            <v>codex</v>
          </cell>
        </row>
        <row r="243">
          <cell r="A243" t="str">
            <v>TS-UD-COH-SCR-001</v>
          </cell>
          <cell r="B243" t="str">
            <v>DOMAIN-COHERENCE</v>
          </cell>
          <cell r="C243" t="str">
            <v>test_011_subscore_technical_calculation</v>
          </cell>
          <cell r="F243" t="str">
            <v>Score Calculator - SubScores</v>
          </cell>
          <cell r="G243" t="str">
            <v>gemini</v>
          </cell>
          <cell r="H243" t="str">
            <v>done</v>
          </cell>
          <cell r="J243" t="str">
            <v>codex</v>
          </cell>
        </row>
        <row r="244">
          <cell r="A244" t="str">
            <v>TS-UD-COH-SCR-001</v>
          </cell>
          <cell r="B244" t="str">
            <v>DOMAIN-COHERENCE</v>
          </cell>
          <cell r="C244" t="str">
            <v>test_012_subscore_legal_calculation</v>
          </cell>
          <cell r="F244" t="str">
            <v>Score Calculator - SubScores</v>
          </cell>
          <cell r="G244" t="str">
            <v>gemini</v>
          </cell>
          <cell r="H244" t="str">
            <v>done</v>
          </cell>
          <cell r="J244" t="str">
            <v>codex</v>
          </cell>
        </row>
        <row r="245">
          <cell r="A245" t="str">
            <v>TS-UD-COH-SCR-001</v>
          </cell>
          <cell r="B245" t="str">
            <v>DOMAIN-COHERENCE</v>
          </cell>
          <cell r="C245" t="str">
            <v>test_013_subscore_time_calculation</v>
          </cell>
          <cell r="F245" t="str">
            <v>Score Calculator - SubScores</v>
          </cell>
          <cell r="G245" t="str">
            <v>gemini</v>
          </cell>
          <cell r="H245" t="str">
            <v>done</v>
          </cell>
          <cell r="J245" t="str">
            <v>codex</v>
          </cell>
        </row>
        <row r="246">
          <cell r="A246" t="str">
            <v>TS-UD-COH-SCR-001</v>
          </cell>
          <cell r="B246" t="str">
            <v>DOMAIN-COHERENCE</v>
          </cell>
          <cell r="C246" t="str">
            <v>test_014_subscore_floor_at_zero</v>
          </cell>
          <cell r="F246" t="str">
            <v>Score Calculator - SubScores</v>
          </cell>
          <cell r="G246" t="str">
            <v>gemini</v>
          </cell>
          <cell r="H246" t="str">
            <v>done</v>
          </cell>
          <cell r="J246" t="str">
            <v>codex</v>
          </cell>
        </row>
        <row r="247">
          <cell r="A247" t="str">
            <v>TS-UD-COH-SCR-002</v>
          </cell>
          <cell r="B247" t="str">
            <v>DOMAIN-COHERENCE</v>
          </cell>
          <cell r="C247" t="str">
            <v>test_001_global_score_formula_verification</v>
          </cell>
          <cell r="F247" t="str">
            <v>Score Calculator - Global</v>
          </cell>
          <cell r="G247" t="str">
            <v>gemini</v>
          </cell>
          <cell r="H247" t="str">
            <v>done</v>
          </cell>
          <cell r="J247" t="str">
            <v>codex</v>
          </cell>
        </row>
        <row r="248">
          <cell r="A248" t="str">
            <v>TS-UD-COH-SCR-002</v>
          </cell>
          <cell r="B248" t="str">
            <v>DOMAIN-COHERENCE</v>
          </cell>
          <cell r="C248" t="str">
            <v>test_002_global_score_default_weights</v>
          </cell>
          <cell r="F248" t="str">
            <v>Score Calculator - Global</v>
          </cell>
          <cell r="G248" t="str">
            <v>gemini</v>
          </cell>
          <cell r="H248" t="str">
            <v>done</v>
          </cell>
          <cell r="J248" t="str">
            <v>codex</v>
          </cell>
        </row>
        <row r="249">
          <cell r="A249" t="str">
            <v>TS-UD-COH-SCR-002</v>
          </cell>
          <cell r="B249" t="str">
            <v>DOMAIN-COHERENCE</v>
          </cell>
          <cell r="C249" t="str">
            <v>test_003_global_score_all_100_equals_100</v>
          </cell>
          <cell r="F249" t="str">
            <v>Score Calculator - Global</v>
          </cell>
          <cell r="G249" t="str">
            <v>gemini</v>
          </cell>
          <cell r="H249" t="str">
            <v>done</v>
          </cell>
          <cell r="J249" t="str">
            <v>codex</v>
          </cell>
        </row>
        <row r="250">
          <cell r="A250" t="str">
            <v>TS-UD-COH-SCR-002</v>
          </cell>
          <cell r="B250" t="str">
            <v>DOMAIN-COHERENCE</v>
          </cell>
          <cell r="C250" t="str">
            <v>test_004_global_score_all_0_equals_0</v>
          </cell>
          <cell r="F250" t="str">
            <v>Score Calculator - Global</v>
          </cell>
          <cell r="G250" t="str">
            <v>gemini</v>
          </cell>
          <cell r="H250" t="str">
            <v>done</v>
          </cell>
          <cell r="J250" t="str">
            <v>codex</v>
          </cell>
        </row>
        <row r="251">
          <cell r="A251" t="str">
            <v>TS-UD-COH-SCR-002</v>
          </cell>
          <cell r="B251" t="str">
            <v>DOMAIN-COHERENCE</v>
          </cell>
          <cell r="C251" t="str">
            <v>test_005_global_score_mixed_subscores</v>
          </cell>
          <cell r="F251" t="str">
            <v>Score Calculator - Global</v>
          </cell>
          <cell r="G251" t="str">
            <v>gemini</v>
          </cell>
          <cell r="H251" t="str">
            <v>done</v>
          </cell>
          <cell r="J251" t="str">
            <v>codex</v>
          </cell>
        </row>
        <row r="252">
          <cell r="A252" t="str">
            <v>TS-UD-COH-SCR-002</v>
          </cell>
          <cell r="B252" t="str">
            <v>DOMAIN-COHERENCE</v>
          </cell>
          <cell r="C252" t="str">
            <v>test_006_global_score_range_0_to_100</v>
          </cell>
          <cell r="F252" t="str">
            <v>Score Calculator - Global</v>
          </cell>
          <cell r="G252" t="str">
            <v>gemini</v>
          </cell>
          <cell r="H252" t="str">
            <v>done</v>
          </cell>
          <cell r="J252" t="str">
            <v>codex</v>
          </cell>
        </row>
        <row r="253">
          <cell r="A253" t="str">
            <v>TS-UD-COH-SCR-002</v>
          </cell>
          <cell r="B253" t="str">
            <v>DOMAIN-COHERENCE</v>
          </cell>
          <cell r="C253" t="str">
            <v>test_007_weights_sum_validation</v>
          </cell>
          <cell r="F253" t="str">
            <v>Score Calculator - Global</v>
          </cell>
          <cell r="G253" t="str">
            <v>gemini</v>
          </cell>
          <cell r="H253" t="str">
            <v>done</v>
          </cell>
          <cell r="J253" t="str">
            <v>codex</v>
          </cell>
        </row>
        <row r="254">
          <cell r="A254" t="str">
            <v>TS-UD-COH-SCR-002</v>
          </cell>
          <cell r="B254" t="str">
            <v>DOMAIN-COHERENCE</v>
          </cell>
          <cell r="C254" t="str">
            <v>test_008_weights_normalization_auto</v>
          </cell>
          <cell r="F254" t="str">
            <v>Score Calculator - Global</v>
          </cell>
          <cell r="G254" t="str">
            <v>gemini</v>
          </cell>
          <cell r="H254" t="str">
            <v>done</v>
          </cell>
          <cell r="J254" t="str">
            <v>codex</v>
          </cell>
        </row>
        <row r="255">
          <cell r="A255" t="str">
            <v>TS-UD-COH-SCR-002</v>
          </cell>
          <cell r="B255" t="str">
            <v>DOMAIN-COHERENCE</v>
          </cell>
          <cell r="C255" t="str">
            <v>test_009_weights_custom_budget_30</v>
          </cell>
          <cell r="F255" t="str">
            <v>Score Calculator - Global</v>
          </cell>
          <cell r="G255" t="str">
            <v>gemini</v>
          </cell>
          <cell r="H255" t="str">
            <v>done</v>
          </cell>
          <cell r="J255" t="str">
            <v>codex</v>
          </cell>
        </row>
        <row r="256">
          <cell r="A256" t="str">
            <v>TS-UD-COH-SCR-002</v>
          </cell>
          <cell r="B256" t="str">
            <v>DOMAIN-COHERENCE</v>
          </cell>
          <cell r="C256" t="str">
            <v>test_010_weights_custom_time_25</v>
          </cell>
          <cell r="F256" t="str">
            <v>Score Calculator - Global</v>
          </cell>
          <cell r="G256" t="str">
            <v>gemini</v>
          </cell>
          <cell r="H256" t="str">
            <v>done</v>
          </cell>
          <cell r="J256" t="str">
            <v>codex</v>
          </cell>
        </row>
        <row r="257">
          <cell r="A257" t="str">
            <v>TS-UD-COH-SCR-002</v>
          </cell>
          <cell r="B257" t="str">
            <v>DOMAIN-COHERENCE</v>
          </cell>
          <cell r="C257" t="str">
            <v>test_011_weights_per_project_type</v>
          </cell>
          <cell r="F257" t="str">
            <v>Score Calculator - Global</v>
          </cell>
          <cell r="G257" t="str">
            <v>gemini</v>
          </cell>
          <cell r="H257" t="str">
            <v>done</v>
          </cell>
          <cell r="J257" t="str">
            <v>codex</v>
          </cell>
        </row>
        <row r="258">
          <cell r="A258" t="str">
            <v>TS-UD-COH-SCR-002</v>
          </cell>
          <cell r="B258" t="str">
            <v>DOMAIN-COHERENCE</v>
          </cell>
          <cell r="C258" t="str">
            <v>test_012_weights_history_tracking</v>
          </cell>
          <cell r="F258" t="str">
            <v>Score Calculator - Global</v>
          </cell>
          <cell r="G258" t="str">
            <v>gemini</v>
          </cell>
          <cell r="H258" t="str">
            <v>done</v>
          </cell>
          <cell r="J258" t="str">
            <v>codex</v>
          </cell>
        </row>
        <row r="259">
          <cell r="A259" t="str">
            <v>TS-UD-COH-SCR-003</v>
          </cell>
          <cell r="B259" t="str">
            <v>DOMAIN-COHERENCE</v>
          </cell>
          <cell r="C259" t="str">
            <v>Tests not individually listed</v>
          </cell>
          <cell r="J259" t="str">
            <v>codex</v>
          </cell>
        </row>
        <row r="260">
          <cell r="A260" t="str">
            <v>TS-UD-COH-GAM-001</v>
          </cell>
          <cell r="B260" t="str">
            <v>DOMAIN-COHERENCE</v>
          </cell>
          <cell r="C260" t="str">
            <v>test_001_detect_mass_changes_15_in_30min</v>
          </cell>
          <cell r="F260" t="str">
            <v>Anti-Gaming Policy</v>
          </cell>
          <cell r="G260" t="str">
            <v>gemini</v>
          </cell>
          <cell r="H260" t="str">
            <v>done</v>
          </cell>
          <cell r="J260" t="str">
            <v>codex</v>
          </cell>
        </row>
        <row r="261">
          <cell r="A261" t="str">
            <v>TS-UD-COH-GAM-001</v>
          </cell>
          <cell r="B261" t="str">
            <v>DOMAIN-COHERENCE</v>
          </cell>
          <cell r="C261" t="str">
            <v>test_002_no_violation_10_in_60min</v>
          </cell>
          <cell r="F261" t="str">
            <v>Anti-Gaming Policy</v>
          </cell>
          <cell r="G261" t="str">
            <v>gemini</v>
          </cell>
          <cell r="H261" t="str">
            <v>done</v>
          </cell>
          <cell r="J261" t="str">
            <v>codex</v>
          </cell>
        </row>
        <row r="262">
          <cell r="A262" t="str">
            <v>TS-UD-COH-GAM-001</v>
          </cell>
          <cell r="B262" t="str">
            <v>DOMAIN-COHERENCE</v>
          </cell>
          <cell r="C262" t="str">
            <v>test_003_mass_changes_window_sliding</v>
          </cell>
          <cell r="F262" t="str">
            <v>Anti-Gaming Policy</v>
          </cell>
          <cell r="G262" t="str">
            <v>gemini</v>
          </cell>
          <cell r="H262" t="str">
            <v>done</v>
          </cell>
          <cell r="J262" t="str">
            <v>codex</v>
          </cell>
        </row>
        <row r="263">
          <cell r="A263" t="str">
            <v>TS-UD-COH-GAM-001</v>
          </cell>
          <cell r="B263" t="str">
            <v>DOMAIN-COHERENCE</v>
          </cell>
          <cell r="C263" t="str">
            <v>test_004_mass_changes_flag_for_review</v>
          </cell>
          <cell r="F263" t="str">
            <v>Anti-Gaming Policy</v>
          </cell>
          <cell r="G263" t="str">
            <v>gemini</v>
          </cell>
          <cell r="H263" t="str">
            <v>done</v>
          </cell>
          <cell r="J263" t="str">
            <v>codex</v>
          </cell>
        </row>
        <row r="264">
          <cell r="A264" t="str">
            <v>TS-UD-COH-GAM-001</v>
          </cell>
          <cell r="B264" t="str">
            <v>DOMAIN-COHERENCE</v>
          </cell>
          <cell r="C264" t="str">
            <v>test_005_detect_resolve_reintroduce_4_times</v>
          </cell>
          <cell r="F264" t="str">
            <v>Anti-Gaming Policy</v>
          </cell>
          <cell r="G264" t="str">
            <v>gemini</v>
          </cell>
          <cell r="H264" t="str">
            <v>done</v>
          </cell>
          <cell r="J264" t="str">
            <v>codex</v>
          </cell>
        </row>
        <row r="265">
          <cell r="A265" t="str">
            <v>TS-UD-COH-GAM-001</v>
          </cell>
          <cell r="B265" t="str">
            <v>DOMAIN-COHERENCE</v>
          </cell>
          <cell r="C265" t="str">
            <v>test_006_no_violation_2_times</v>
          </cell>
          <cell r="F265" t="str">
            <v>Anti-Gaming Policy</v>
          </cell>
          <cell r="G265" t="str">
            <v>gemini</v>
          </cell>
          <cell r="H265" t="str">
            <v>done</v>
          </cell>
          <cell r="J265" t="str">
            <v>codex</v>
          </cell>
        </row>
        <row r="266">
          <cell r="A266" t="str">
            <v>TS-UD-COH-GAM-001</v>
          </cell>
          <cell r="B266" t="str">
            <v>DOMAIN-COHERENCE</v>
          </cell>
          <cell r="C266" t="str">
            <v>test_007_hash_comparison_same_content</v>
          </cell>
          <cell r="F266" t="str">
            <v>Anti-Gaming Policy</v>
          </cell>
          <cell r="G266" t="str">
            <v>gemini</v>
          </cell>
          <cell r="H266" t="str">
            <v>done</v>
          </cell>
          <cell r="J266" t="str">
            <v>codex</v>
          </cell>
        </row>
        <row r="267">
          <cell r="A267" t="str">
            <v>TS-UD-COH-GAM-001</v>
          </cell>
          <cell r="B267" t="str">
            <v>DOMAIN-COHERENCE</v>
          </cell>
          <cell r="C267" t="str">
            <v>test_008_penalty_minus_5_points</v>
          </cell>
          <cell r="F267" t="str">
            <v>Anti-Gaming Policy</v>
          </cell>
          <cell r="G267" t="str">
            <v>gemini</v>
          </cell>
          <cell r="H267" t="str">
            <v>done</v>
          </cell>
          <cell r="J267" t="str">
            <v>codex</v>
          </cell>
        </row>
        <row r="268">
          <cell r="A268" t="str">
            <v>TS-UD-COH-GAM-001</v>
          </cell>
          <cell r="B268" t="str">
            <v>DOMAIN-COHERENCE</v>
          </cell>
          <cell r="C268" t="str">
            <v>test_009_detect_95_percent_3_docs</v>
          </cell>
          <cell r="F268" t="str">
            <v>Anti-Gaming Policy</v>
          </cell>
          <cell r="G268" t="str">
            <v>gemini</v>
          </cell>
          <cell r="H268" t="str">
            <v>done</v>
          </cell>
          <cell r="J268" t="str">
            <v>codex</v>
          </cell>
        </row>
        <row r="269">
          <cell r="A269" t="str">
            <v>TS-UD-COH-GAM-001</v>
          </cell>
          <cell r="B269" t="str">
            <v>DOMAIN-COHERENCE</v>
          </cell>
          <cell r="C269" t="str">
            <v>test_010_no_violation_95_percent_50_docs</v>
          </cell>
          <cell r="F269" t="str">
            <v>Anti-Gaming Policy</v>
          </cell>
          <cell r="G269" t="str">
            <v>gemini</v>
          </cell>
          <cell r="H269" t="str">
            <v>done</v>
          </cell>
          <cell r="J269" t="str">
            <v>codex</v>
          </cell>
        </row>
        <row r="270">
          <cell r="A270" t="str">
            <v>TS-UD-COH-GAM-001</v>
          </cell>
          <cell r="B270" t="str">
            <v>DOMAIN-COHERENCE</v>
          </cell>
          <cell r="C270" t="str">
            <v>test_011_threshold_90_percent_5_docs</v>
          </cell>
          <cell r="F270" t="str">
            <v>Anti-Gaming Policy</v>
          </cell>
          <cell r="G270" t="str">
            <v>gemini</v>
          </cell>
          <cell r="H270" t="str">
            <v>done</v>
          </cell>
          <cell r="J270" t="str">
            <v>codex</v>
          </cell>
        </row>
        <row r="271">
          <cell r="A271" t="str">
            <v>TS-UD-COH-GAM-001</v>
          </cell>
          <cell r="B271" t="str">
            <v>DOMAIN-COHERENCE</v>
          </cell>
          <cell r="C271" t="str">
            <v>test_012_require_audit_action</v>
          </cell>
          <cell r="F271" t="str">
            <v>Anti-Gaming Policy</v>
          </cell>
          <cell r="G271" t="str">
            <v>gemini</v>
          </cell>
          <cell r="H271" t="str">
            <v>done</v>
          </cell>
          <cell r="J271" t="str">
            <v>codex</v>
          </cell>
        </row>
        <row r="272">
          <cell r="A272" t="str">
            <v>TS-UD-COH-GAM-001</v>
          </cell>
          <cell r="B272" t="str">
            <v>DOMAIN-COHERENCE</v>
          </cell>
          <cell r="C272" t="str">
            <v>test_013_detect_weight_change_25_percent</v>
          </cell>
          <cell r="F272" t="str">
            <v>Anti-Gaming Policy</v>
          </cell>
          <cell r="G272" t="str">
            <v>gemini</v>
          </cell>
          <cell r="H272" t="str">
            <v>done</v>
          </cell>
          <cell r="J272" t="str">
            <v>codex</v>
          </cell>
        </row>
        <row r="273">
          <cell r="A273" t="str">
            <v>TS-UD-COH-GAM-001</v>
          </cell>
          <cell r="B273" t="str">
            <v>DOMAIN-COHERENCE</v>
          </cell>
          <cell r="C273" t="str">
            <v>test_014_no_violation_change_15_percent</v>
          </cell>
          <cell r="F273" t="str">
            <v>Anti-Gaming Policy</v>
          </cell>
          <cell r="G273" t="str">
            <v>gemini</v>
          </cell>
          <cell r="H273" t="str">
            <v>done</v>
          </cell>
          <cell r="J273" t="str">
            <v>codex</v>
          </cell>
        </row>
        <row r="274">
          <cell r="A274" t="str">
            <v>TS-UD-COH-GAM-001</v>
          </cell>
          <cell r="B274" t="str">
            <v>DOMAIN-COHERENCE</v>
          </cell>
          <cell r="C274" t="str">
            <v>test_015_24h_window_tracking</v>
          </cell>
          <cell r="F274" t="str">
            <v>Anti-Gaming Policy</v>
          </cell>
          <cell r="G274" t="str">
            <v>gemini</v>
          </cell>
          <cell r="H274" t="str">
            <v>done</v>
          </cell>
          <cell r="J274" t="str">
            <v>codex</v>
          </cell>
        </row>
        <row r="275">
          <cell r="A275" t="str">
            <v>TS-UD-COH-GAM-001</v>
          </cell>
          <cell r="B275" t="str">
            <v>DOMAIN-COHERENCE</v>
          </cell>
          <cell r="C275" t="str">
            <v>test_016_notify_admin_action</v>
          </cell>
          <cell r="F275" t="str">
            <v>Anti-Gaming Policy</v>
          </cell>
          <cell r="G275" t="str">
            <v>gemini</v>
          </cell>
          <cell r="H275" t="str">
            <v>done</v>
          </cell>
          <cell r="J275" t="str">
            <v>codex</v>
          </cell>
        </row>
        <row r="276">
          <cell r="A276" t="str">
            <v>TS-UD-COH-ALR-001</v>
          </cell>
          <cell r="B276" t="str">
            <v>DOMAIN-COHERENCE</v>
          </cell>
          <cell r="C276" t="str">
            <v>Tests not individually listed</v>
          </cell>
          <cell r="J276" t="str">
            <v>codex</v>
          </cell>
        </row>
        <row r="277">
          <cell r="A277" t="str">
            <v>TS-UD-PRJ-WBS-001</v>
          </cell>
          <cell r="B277" t="str">
            <v>DOMAIN-PROJECTS</v>
          </cell>
          <cell r="C277" t="str">
            <v>test_001_wbs_item_creation_all_fields</v>
          </cell>
          <cell r="F277" t="str">
            <v>WBS Item Entity</v>
          </cell>
          <cell r="G277" t="str">
            <v>gemini</v>
          </cell>
          <cell r="H277" t="str">
            <v>done</v>
          </cell>
          <cell r="I277" t="str">
            <v xml:space="preserve"> apps/api/tests/modules/projects/domain/.</v>
          </cell>
          <cell r="J277" t="str">
            <v>codex</v>
          </cell>
        </row>
        <row r="278">
          <cell r="A278" t="str">
            <v>TS-UD-PRJ-WBS-001</v>
          </cell>
          <cell r="B278" t="str">
            <v>DOMAIN-PROJECTS</v>
          </cell>
          <cell r="C278" t="str">
            <v>test_002_wbs_item_creation_minimum_fields</v>
          </cell>
          <cell r="F278" t="str">
            <v>WBS Item Entity</v>
          </cell>
          <cell r="G278" t="str">
            <v>gemini</v>
          </cell>
          <cell r="H278" t="str">
            <v>done</v>
          </cell>
          <cell r="J278" t="str">
            <v>codex</v>
          </cell>
        </row>
        <row r="279">
          <cell r="A279" t="str">
            <v>TS-UD-PRJ-WBS-001</v>
          </cell>
          <cell r="B279" t="str">
            <v>DOMAIN-PROJECTS</v>
          </cell>
          <cell r="C279" t="str">
            <v>test_003_wbs_item_fails_without_code</v>
          </cell>
          <cell r="F279" t="str">
            <v>WBS Item Entity</v>
          </cell>
          <cell r="G279" t="str">
            <v>gemini</v>
          </cell>
          <cell r="H279" t="str">
            <v>done</v>
          </cell>
          <cell r="J279" t="str">
            <v>codex</v>
          </cell>
        </row>
        <row r="280">
          <cell r="A280" t="str">
            <v>TS-UD-PRJ-WBS-001</v>
          </cell>
          <cell r="B280" t="str">
            <v>DOMAIN-PROJECTS</v>
          </cell>
          <cell r="C280" t="str">
            <v>test_004_wbs_item_fails_without_name</v>
          </cell>
          <cell r="F280" t="str">
            <v>WBS Item Entity</v>
          </cell>
          <cell r="G280" t="str">
            <v>gemini</v>
          </cell>
          <cell r="H280" t="str">
            <v>done</v>
          </cell>
          <cell r="J280" t="str">
            <v>codex</v>
          </cell>
        </row>
        <row r="281">
          <cell r="A281" t="str">
            <v>TS-UD-PRJ-WBS-001</v>
          </cell>
          <cell r="B281" t="str">
            <v>DOMAIN-PROJECTS</v>
          </cell>
          <cell r="C281" t="str">
            <v>test_005_wbs_item_fails_invalid_level</v>
          </cell>
          <cell r="F281" t="str">
            <v>WBS Item Entity</v>
          </cell>
          <cell r="G281" t="str">
            <v>gemini</v>
          </cell>
          <cell r="H281" t="str">
            <v>done</v>
          </cell>
          <cell r="J281" t="str">
            <v>codex</v>
          </cell>
        </row>
        <row r="282">
          <cell r="A282" t="str">
            <v>TS-UD-PRJ-WBS-001</v>
          </cell>
          <cell r="B282" t="str">
            <v>DOMAIN-PROJECTS</v>
          </cell>
          <cell r="C282" t="str">
            <v>test_006_wbs_item_immutability</v>
          </cell>
          <cell r="F282" t="str">
            <v>WBS Item Entity</v>
          </cell>
          <cell r="G282" t="str">
            <v>gemini</v>
          </cell>
          <cell r="H282" t="str">
            <v>done</v>
          </cell>
          <cell r="J282" t="str">
            <v>codex</v>
          </cell>
        </row>
        <row r="283">
          <cell r="A283" t="str">
            <v>TS-UD-PRJ-WBS-001</v>
          </cell>
          <cell r="B283" t="str">
            <v>DOMAIN-PROJECTS</v>
          </cell>
          <cell r="C283" t="str">
            <v>test_007_wbs_code_format_1</v>
          </cell>
          <cell r="F283" t="str">
            <v>WBS Item Entity</v>
          </cell>
          <cell r="G283" t="str">
            <v>gemini</v>
          </cell>
          <cell r="H283" t="str">
            <v>done</v>
          </cell>
          <cell r="J283" t="str">
            <v>codex</v>
          </cell>
        </row>
        <row r="284">
          <cell r="A284" t="str">
            <v>TS-UD-PRJ-WBS-001</v>
          </cell>
          <cell r="B284" t="str">
            <v>DOMAIN-PROJECTS</v>
          </cell>
          <cell r="C284" t="str">
            <v>test_008_wbs_code_format_1_1</v>
          </cell>
          <cell r="F284" t="str">
            <v>WBS Item Entity</v>
          </cell>
          <cell r="G284" t="str">
            <v>gemini</v>
          </cell>
          <cell r="H284" t="str">
            <v>done</v>
          </cell>
          <cell r="J284" t="str">
            <v>codex</v>
          </cell>
        </row>
        <row r="285">
          <cell r="A285" t="str">
            <v>TS-UD-PRJ-WBS-001</v>
          </cell>
          <cell r="B285" t="str">
            <v>DOMAIN-PROJECTS</v>
          </cell>
          <cell r="C285" t="str">
            <v>test_009_wbs_code_format_1_1_1</v>
          </cell>
          <cell r="F285" t="str">
            <v>WBS Item Entity</v>
          </cell>
          <cell r="G285" t="str">
            <v>gemini</v>
          </cell>
          <cell r="H285" t="str">
            <v>done</v>
          </cell>
          <cell r="J285" t="str">
            <v>codex</v>
          </cell>
        </row>
        <row r="286">
          <cell r="A286" t="str">
            <v>TS-UD-PRJ-WBS-001</v>
          </cell>
          <cell r="B286" t="str">
            <v>DOMAIN-PROJECTS</v>
          </cell>
          <cell r="C286" t="str">
            <v>test_010_wbs_code_format_1_1_1_1</v>
          </cell>
          <cell r="F286" t="str">
            <v>WBS Item Entity</v>
          </cell>
          <cell r="G286" t="str">
            <v>gemini</v>
          </cell>
          <cell r="H286" t="str">
            <v>done</v>
          </cell>
          <cell r="J286" t="str">
            <v>codex</v>
          </cell>
        </row>
        <row r="287">
          <cell r="A287" t="str">
            <v>TS-UD-PRJ-WBS-001</v>
          </cell>
          <cell r="B287" t="str">
            <v>DOMAIN-PROJECTS</v>
          </cell>
          <cell r="C287" t="str">
            <v>test_011_wbs_code_invalid_format_rejected</v>
          </cell>
          <cell r="F287" t="str">
            <v>WBS Item Entity</v>
          </cell>
          <cell r="G287" t="str">
            <v>gemini</v>
          </cell>
          <cell r="H287" t="str">
            <v>done</v>
          </cell>
          <cell r="J287" t="str">
            <v>codex</v>
          </cell>
        </row>
        <row r="288">
          <cell r="A288" t="str">
            <v>TS-UD-PRJ-WBS-001</v>
          </cell>
          <cell r="B288" t="str">
            <v>DOMAIN-PROJECTS</v>
          </cell>
          <cell r="C288" t="str">
            <v>test_012_wbs_code_uniqueness_per_project</v>
          </cell>
          <cell r="F288" t="str">
            <v>WBS Item Entity</v>
          </cell>
          <cell r="G288" t="str">
            <v>gemini</v>
          </cell>
          <cell r="H288" t="str">
            <v>done</v>
          </cell>
          <cell r="J288" t="str">
            <v>codex</v>
          </cell>
        </row>
        <row r="289">
          <cell r="A289" t="str">
            <v>TS-UD-PRJ-WBS-001</v>
          </cell>
          <cell r="B289" t="str">
            <v>DOMAIN-PROJECTS</v>
          </cell>
          <cell r="C289" t="str">
            <v>test_013_wbs_level_1_valid</v>
          </cell>
          <cell r="F289" t="str">
            <v>WBS Item Entity</v>
          </cell>
          <cell r="G289" t="str">
            <v>gemini</v>
          </cell>
          <cell r="H289" t="str">
            <v>done</v>
          </cell>
          <cell r="J289" t="str">
            <v>codex</v>
          </cell>
        </row>
        <row r="290">
          <cell r="A290" t="str">
            <v>TS-UD-PRJ-WBS-001</v>
          </cell>
          <cell r="B290" t="str">
            <v>DOMAIN-PROJECTS</v>
          </cell>
          <cell r="C290" t="str">
            <v>test_014_wbs_level_4_valid</v>
          </cell>
          <cell r="F290" t="str">
            <v>WBS Item Entity</v>
          </cell>
          <cell r="G290" t="str">
            <v>gemini</v>
          </cell>
          <cell r="H290" t="str">
            <v>done</v>
          </cell>
          <cell r="J290" t="str">
            <v>codex</v>
          </cell>
        </row>
        <row r="291">
          <cell r="A291" t="str">
            <v>TS-UD-PRJ-WBS-001</v>
          </cell>
          <cell r="B291" t="str">
            <v>DOMAIN-PROJECTS</v>
          </cell>
          <cell r="C291" t="str">
            <v>test_015_wbs_level_0_invalid</v>
          </cell>
          <cell r="F291" t="str">
            <v>WBS Item Entity</v>
          </cell>
          <cell r="G291" t="str">
            <v>gemini</v>
          </cell>
          <cell r="H291" t="str">
            <v>done</v>
          </cell>
          <cell r="J291" t="str">
            <v>codex</v>
          </cell>
        </row>
        <row r="292">
          <cell r="A292" t="str">
            <v>TS-UD-PRJ-WBS-001</v>
          </cell>
          <cell r="B292" t="str">
            <v>DOMAIN-PROJECTS</v>
          </cell>
          <cell r="C292" t="str">
            <v>test_016_wbs_level_5_invalid</v>
          </cell>
          <cell r="F292" t="str">
            <v>WBS Item Entity</v>
          </cell>
          <cell r="G292" t="str">
            <v>gemini</v>
          </cell>
          <cell r="H292" t="str">
            <v>done</v>
          </cell>
          <cell r="J292" t="str">
            <v>codex</v>
          </cell>
        </row>
        <row r="293">
          <cell r="A293" t="str">
            <v>TS-UD-PRJ-WBS-001</v>
          </cell>
          <cell r="B293" t="str">
            <v>DOMAIN-PROJECTS</v>
          </cell>
          <cell r="C293" t="str">
            <v>test_017_wbs_level_matches_code_depth</v>
          </cell>
          <cell r="F293" t="str">
            <v>WBS Item Entity</v>
          </cell>
          <cell r="G293" t="str">
            <v>gemini</v>
          </cell>
          <cell r="H293" t="str">
            <v>done</v>
          </cell>
          <cell r="J293" t="str">
            <v>codex</v>
          </cell>
        </row>
        <row r="294">
          <cell r="A294" t="str">
            <v>TS-UD-PRJ-WBS-001</v>
          </cell>
          <cell r="B294" t="str">
            <v>DOMAIN-PROJECTS</v>
          </cell>
          <cell r="C294" t="str">
            <v>test_018_wbs_level_parent_child_validation</v>
          </cell>
          <cell r="F294" t="str">
            <v>WBS Item Entity</v>
          </cell>
          <cell r="G294" t="str">
            <v>gemini</v>
          </cell>
          <cell r="H294" t="str">
            <v>done</v>
          </cell>
          <cell r="J294" t="str">
            <v>codex</v>
          </cell>
        </row>
        <row r="295">
          <cell r="A295" t="str">
            <v>TS-UD-PRJ-WBS-002</v>
          </cell>
          <cell r="B295" t="str">
            <v>DOMAIN-PROJECTS</v>
          </cell>
          <cell r="C295" t="str">
            <v>Tests not individually listed</v>
          </cell>
          <cell r="J295" t="str">
            <v>codex</v>
          </cell>
        </row>
        <row r="296">
          <cell r="A296" t="str">
            <v>TS-UD-PRJ-WBS-003</v>
          </cell>
          <cell r="B296" t="str">
            <v>DOMAIN-PROJECTS</v>
          </cell>
          <cell r="C296" t="str">
            <v>Tests not individually listed</v>
          </cell>
          <cell r="J296" t="str">
            <v>codex</v>
          </cell>
        </row>
        <row r="297">
          <cell r="A297" t="str">
            <v>TS-UD-PRJ-WBS-004</v>
          </cell>
          <cell r="B297" t="str">
            <v>DOMAIN-PROJECTS</v>
          </cell>
          <cell r="C297" t="str">
            <v>Tests not individually listed</v>
          </cell>
          <cell r="J297" t="str">
            <v>codex</v>
          </cell>
        </row>
        <row r="298">
          <cell r="A298" t="str">
            <v>TS-UD-PRJ-PRJ-001</v>
          </cell>
          <cell r="B298" t="str">
            <v>DOMAIN-PROJECTS</v>
          </cell>
          <cell r="C298" t="str">
            <v>Tests not individually listed</v>
          </cell>
          <cell r="J298" t="str">
            <v>codex</v>
          </cell>
        </row>
        <row r="299">
          <cell r="A299" t="str">
            <v>TS-UD-PRJ-DTO-001</v>
          </cell>
          <cell r="B299" t="str">
            <v>DOMAIN-PROJECTS</v>
          </cell>
          <cell r="C299" t="str">
            <v>Tests not individually listed</v>
          </cell>
          <cell r="J299" t="str">
            <v>codex</v>
          </cell>
        </row>
        <row r="300">
          <cell r="A300" t="str">
            <v>TS-UD-PROC-BOM-001</v>
          </cell>
          <cell r="B300" t="str">
            <v>DOMAIN-PROCUREMENT</v>
          </cell>
          <cell r="C300" t="str">
            <v>Tests not individually listed</v>
          </cell>
          <cell r="J300" t="str">
            <v>codex</v>
          </cell>
        </row>
        <row r="301">
          <cell r="A301" t="str">
            <v>TS-UD-PROC-BOM-002</v>
          </cell>
          <cell r="B301" t="str">
            <v>DOMAIN-PROCUREMENT</v>
          </cell>
          <cell r="C301" t="str">
            <v>Tests not individually listed</v>
          </cell>
          <cell r="J301" t="str">
            <v>codex</v>
          </cell>
        </row>
        <row r="302">
          <cell r="A302" t="str">
            <v>TS-UD-PROC-LTM-001</v>
          </cell>
          <cell r="B302" t="str">
            <v>DOMAIN-PROCUREMENT</v>
          </cell>
          <cell r="C302" t="str">
            <v>test_001_optimal_date_production_only</v>
          </cell>
          <cell r="F302" t="str">
            <v>Lead Time Calculator - Basic</v>
          </cell>
          <cell r="G302" t="str">
            <v>gemini</v>
          </cell>
          <cell r="H302" t="str">
            <v>done</v>
          </cell>
          <cell r="I302" t="str">
            <v>apps/api/tests/modules/procurement/domain/.</v>
          </cell>
          <cell r="J302" t="str">
            <v>codex</v>
          </cell>
        </row>
        <row r="303">
          <cell r="A303" t="str">
            <v>TS-UD-PROC-LTM-001</v>
          </cell>
          <cell r="B303" t="str">
            <v>DOMAIN-PROCUREMENT</v>
          </cell>
          <cell r="C303" t="str">
            <v>test_002_optimal_date_production_transit</v>
          </cell>
          <cell r="F303" t="str">
            <v>Lead Time Calculator - Basic</v>
          </cell>
          <cell r="G303" t="str">
            <v>gemini</v>
          </cell>
          <cell r="H303" t="str">
            <v>done</v>
          </cell>
          <cell r="J303" t="str">
            <v>codex</v>
          </cell>
        </row>
        <row r="304">
          <cell r="A304" t="str">
            <v>TS-UD-PROC-LTM-001</v>
          </cell>
          <cell r="B304" t="str">
            <v>DOMAIN-PROCUREMENT</v>
          </cell>
          <cell r="C304" t="str">
            <v>test_003_optimal_date_production_transit_buffer</v>
          </cell>
          <cell r="F304" t="str">
            <v>Lead Time Calculator - Basic</v>
          </cell>
          <cell r="G304" t="str">
            <v>gemini</v>
          </cell>
          <cell r="H304" t="str">
            <v>done</v>
          </cell>
          <cell r="J304" t="str">
            <v>codex</v>
          </cell>
        </row>
        <row r="305">
          <cell r="A305" t="str">
            <v>TS-UD-PROC-LTM-001</v>
          </cell>
          <cell r="B305" t="str">
            <v>DOMAIN-PROCUREMENT</v>
          </cell>
          <cell r="C305" t="str">
            <v>test_004_optimal_date_all_components</v>
          </cell>
          <cell r="F305" t="str">
            <v>Lead Time Calculator - Basic</v>
          </cell>
          <cell r="G305" t="str">
            <v>gemini</v>
          </cell>
          <cell r="H305" t="str">
            <v>done</v>
          </cell>
          <cell r="J305" t="str">
            <v>codex</v>
          </cell>
        </row>
        <row r="306">
          <cell r="A306" t="str">
            <v>TS-UD-PROC-LTM-001</v>
          </cell>
          <cell r="B306" t="str">
            <v>DOMAIN-PROCUREMENT</v>
          </cell>
          <cell r="C306" t="str">
            <v>test_005_lead_time_breakdown_returned</v>
          </cell>
          <cell r="F306" t="str">
            <v>Lead Time Calculator - Basic</v>
          </cell>
          <cell r="G306" t="str">
            <v>gemini</v>
          </cell>
          <cell r="H306" t="str">
            <v>done</v>
          </cell>
          <cell r="J306" t="str">
            <v>codex</v>
          </cell>
        </row>
        <row r="307">
          <cell r="A307" t="str">
            <v>TS-UD-PROC-LTM-001</v>
          </cell>
          <cell r="B307" t="str">
            <v>DOMAIN-PROCUREMENT</v>
          </cell>
          <cell r="C307" t="str">
            <v>test_006_required_on_site_calculation</v>
          </cell>
          <cell r="F307" t="str">
            <v>Lead Time Calculator - Basic</v>
          </cell>
          <cell r="G307" t="str">
            <v>gemini</v>
          </cell>
          <cell r="H307" t="str">
            <v>done</v>
          </cell>
          <cell r="J307" t="str">
            <v>codex</v>
          </cell>
        </row>
        <row r="308">
          <cell r="A308" t="str">
            <v>TS-UD-PROC-LTM-001</v>
          </cell>
          <cell r="B308" t="str">
            <v>DOMAIN-PROCUREMENT</v>
          </cell>
          <cell r="C308" t="str">
            <v>test_007_business_days_calculation</v>
          </cell>
          <cell r="F308" t="str">
            <v>Lead Time Calculator - Basic</v>
          </cell>
          <cell r="G308" t="str">
            <v>gemini</v>
          </cell>
          <cell r="H308" t="str">
            <v>done</v>
          </cell>
          <cell r="J308" t="str">
            <v>codex</v>
          </cell>
        </row>
        <row r="309">
          <cell r="A309" t="str">
            <v>TS-UD-PROC-LTM-001</v>
          </cell>
          <cell r="B309" t="str">
            <v>DOMAIN-PROCUREMENT</v>
          </cell>
          <cell r="C309" t="str">
            <v>test_008_weekend_exclusion</v>
          </cell>
          <cell r="F309" t="str">
            <v>Lead Time Calculator - Basic</v>
          </cell>
          <cell r="G309" t="str">
            <v>gemini</v>
          </cell>
          <cell r="H309" t="str">
            <v>done</v>
          </cell>
          <cell r="J309" t="str">
            <v>codex</v>
          </cell>
        </row>
        <row r="310">
          <cell r="A310" t="str">
            <v>TS-UD-PROC-LTM-001</v>
          </cell>
          <cell r="B310" t="str">
            <v>DOMAIN-PROCUREMENT</v>
          </cell>
          <cell r="C310" t="str">
            <v>test_009_holiday_exclusion</v>
          </cell>
          <cell r="F310" t="str">
            <v>Lead Time Calculator - Basic</v>
          </cell>
          <cell r="G310" t="str">
            <v>gemini</v>
          </cell>
          <cell r="H310" t="str">
            <v>done</v>
          </cell>
          <cell r="J310" t="str">
            <v>codex</v>
          </cell>
        </row>
        <row r="311">
          <cell r="A311" t="str">
            <v>TS-UD-PROC-LTM-001</v>
          </cell>
          <cell r="B311" t="str">
            <v>DOMAIN-PROCUREMENT</v>
          </cell>
          <cell r="C311" t="str">
            <v>test_010_delivery_on_weekend_adjusted</v>
          </cell>
          <cell r="F311" t="str">
            <v>Lead Time Calculator - Basic</v>
          </cell>
          <cell r="G311" t="str">
            <v>gemini</v>
          </cell>
          <cell r="H311" t="str">
            <v>done</v>
          </cell>
          <cell r="J311" t="str">
            <v>codex</v>
          </cell>
        </row>
        <row r="312">
          <cell r="A312" t="str">
            <v>TS-UD-PROC-LTM-001</v>
          </cell>
          <cell r="B312" t="str">
            <v>DOMAIN-PROCUREMENT</v>
          </cell>
          <cell r="C312" t="str">
            <v>test_011_mixed_calendar_business_days</v>
          </cell>
          <cell r="F312" t="str">
            <v>Lead Time Calculator - Basic</v>
          </cell>
          <cell r="G312" t="str">
            <v>gemini</v>
          </cell>
          <cell r="H312" t="str">
            <v>done</v>
          </cell>
          <cell r="J312" t="str">
            <v>codex</v>
          </cell>
        </row>
        <row r="313">
          <cell r="A313" t="str">
            <v>TS-UD-PROC-LTM-001</v>
          </cell>
          <cell r="B313" t="str">
            <v>DOMAIN-PROCUREMENT</v>
          </cell>
          <cell r="C313" t="str">
            <v>test_012_alert_r14_date_passed</v>
          </cell>
          <cell r="F313" t="str">
            <v>Lead Time Calculator - Basic</v>
          </cell>
          <cell r="G313" t="str">
            <v>gemini</v>
          </cell>
          <cell r="H313" t="str">
            <v>done</v>
          </cell>
          <cell r="J313" t="str">
            <v>codex</v>
          </cell>
        </row>
        <row r="314">
          <cell r="A314" t="str">
            <v>TS-UD-PROC-LTM-001</v>
          </cell>
          <cell r="B314" t="str">
            <v>DOMAIN-PROCUREMENT</v>
          </cell>
          <cell r="C314" t="str">
            <v>test_013_alert_r14_tight_margin_3_days</v>
          </cell>
          <cell r="F314" t="str">
            <v>Lead Time Calculator - Basic</v>
          </cell>
          <cell r="G314" t="str">
            <v>gemini</v>
          </cell>
          <cell r="H314" t="str">
            <v>done</v>
          </cell>
          <cell r="J314" t="str">
            <v>codex</v>
          </cell>
        </row>
        <row r="315">
          <cell r="A315" t="str">
            <v>TS-UD-PROC-LTM-001</v>
          </cell>
          <cell r="B315" t="str">
            <v>DOMAIN-PROCUREMENT</v>
          </cell>
          <cell r="C315" t="str">
            <v>test_014_alert_severity_critical_passed</v>
          </cell>
          <cell r="F315" t="str">
            <v>Lead Time Calculator - Basic</v>
          </cell>
          <cell r="G315" t="str">
            <v>gemini</v>
          </cell>
          <cell r="H315" t="str">
            <v>done</v>
          </cell>
          <cell r="J315" t="str">
            <v>codex</v>
          </cell>
        </row>
        <row r="316">
          <cell r="A316" t="str">
            <v>TS-UD-PROC-LTM-001</v>
          </cell>
          <cell r="B316" t="str">
            <v>DOMAIN-PROCUREMENT</v>
          </cell>
          <cell r="C316" t="str">
            <v>test_015_alert_severity_warning_tight</v>
          </cell>
          <cell r="F316" t="str">
            <v>Lead Time Calculator - Basic</v>
          </cell>
          <cell r="G316" t="str">
            <v>gemini</v>
          </cell>
          <cell r="H316" t="str">
            <v>done</v>
          </cell>
          <cell r="J316" t="str">
            <v>codex</v>
          </cell>
        </row>
        <row r="317">
          <cell r="A317" t="str">
            <v>TS-UD-PROC-LTM-001</v>
          </cell>
          <cell r="B317" t="str">
            <v>DOMAIN-PROCUREMENT</v>
          </cell>
          <cell r="C317" t="str">
            <v>test_016_no_alert_sufficient_margin</v>
          </cell>
          <cell r="F317" t="str">
            <v>Lead Time Calculator - Basic</v>
          </cell>
          <cell r="G317" t="str">
            <v>gemini</v>
          </cell>
          <cell r="H317" t="str">
            <v>done</v>
          </cell>
          <cell r="J317" t="str">
            <v>codex</v>
          </cell>
        </row>
        <row r="318">
          <cell r="A318" t="str">
            <v>TS-UD-PROC-LTM-002</v>
          </cell>
          <cell r="B318" t="str">
            <v>DOMAIN-PROCUREMENT</v>
          </cell>
          <cell r="C318" t="str">
            <v>test_001_exw_buyer_full_responsibility</v>
          </cell>
          <cell r="F318" t="str">
            <v>Lead Time Calculator - Incoterms</v>
          </cell>
          <cell r="G318" t="str">
            <v>gemini</v>
          </cell>
          <cell r="J318" t="str">
            <v>codex</v>
          </cell>
        </row>
        <row r="319">
          <cell r="A319" t="str">
            <v>TS-UD-PROC-LTM-002</v>
          </cell>
          <cell r="B319" t="str">
            <v>DOMAIN-PROCUREMENT</v>
          </cell>
          <cell r="C319" t="str">
            <v>test_002_exw_transit_time_included</v>
          </cell>
          <cell r="F319" t="str">
            <v>Lead Time Calculator - Incoterms</v>
          </cell>
          <cell r="G319" t="str">
            <v>gemini</v>
          </cell>
          <cell r="J319" t="str">
            <v>codex</v>
          </cell>
        </row>
        <row r="320">
          <cell r="A320" t="str">
            <v>TS-UD-PROC-LTM-002</v>
          </cell>
          <cell r="B320" t="str">
            <v>DOMAIN-PROCUREMENT</v>
          </cell>
          <cell r="C320" t="str">
            <v>test_003_exw_customs_included</v>
          </cell>
          <cell r="F320" t="str">
            <v>Lead Time Calculator - Incoterms</v>
          </cell>
          <cell r="G320" t="str">
            <v>gemini</v>
          </cell>
          <cell r="J320" t="str">
            <v>codex</v>
          </cell>
        </row>
        <row r="321">
          <cell r="A321" t="str">
            <v>TS-UD-PROC-LTM-002</v>
          </cell>
          <cell r="B321" t="str">
            <v>DOMAIN-PROCUREMENT</v>
          </cell>
          <cell r="C321" t="str">
            <v>test_004_fob_shared_responsibility</v>
          </cell>
          <cell r="F321" t="str">
            <v>Lead Time Calculator - Incoterms</v>
          </cell>
          <cell r="G321" t="str">
            <v>gemini</v>
          </cell>
          <cell r="J321" t="str">
            <v>codex</v>
          </cell>
        </row>
        <row r="322">
          <cell r="A322" t="str">
            <v>TS-UD-PROC-LTM-002</v>
          </cell>
          <cell r="B322" t="str">
            <v>DOMAIN-PROCUREMENT</v>
          </cell>
          <cell r="C322" t="str">
            <v>test_005_fob_port_handover</v>
          </cell>
          <cell r="F322" t="str">
            <v>Lead Time Calculator - Incoterms</v>
          </cell>
          <cell r="G322" t="str">
            <v>gemini</v>
          </cell>
          <cell r="J322" t="str">
            <v>codex</v>
          </cell>
        </row>
        <row r="323">
          <cell r="A323" t="str">
            <v>TS-UD-PROC-LTM-002</v>
          </cell>
          <cell r="B323" t="str">
            <v>DOMAIN-PROCUREMENT</v>
          </cell>
          <cell r="C323" t="str">
            <v>test_006_fob_insurance_buyer</v>
          </cell>
          <cell r="F323" t="str">
            <v>Lead Time Calculator - Incoterms</v>
          </cell>
          <cell r="G323" t="str">
            <v>gemini</v>
          </cell>
          <cell r="J323" t="str">
            <v>codex</v>
          </cell>
        </row>
        <row r="324">
          <cell r="A324" t="str">
            <v>TS-UD-PROC-LTM-002</v>
          </cell>
          <cell r="B324" t="str">
            <v>DOMAIN-PROCUREMENT</v>
          </cell>
          <cell r="C324" t="str">
            <v>test_007_cif_seller_insurance</v>
          </cell>
          <cell r="F324" t="str">
            <v>Lead Time Calculator - Incoterms</v>
          </cell>
          <cell r="G324" t="str">
            <v>gemini</v>
          </cell>
          <cell r="J324" t="str">
            <v>codex</v>
          </cell>
        </row>
        <row r="325">
          <cell r="A325" t="str">
            <v>TS-UD-PROC-LTM-002</v>
          </cell>
          <cell r="B325" t="str">
            <v>DOMAIN-PROCUREMENT</v>
          </cell>
          <cell r="C325" t="str">
            <v>test_008_cif_port_to_port</v>
          </cell>
          <cell r="F325" t="str">
            <v>Lead Time Calculator - Incoterms</v>
          </cell>
          <cell r="G325" t="str">
            <v>gemini</v>
          </cell>
          <cell r="J325" t="str">
            <v>codex</v>
          </cell>
        </row>
        <row r="326">
          <cell r="A326" t="str">
            <v>TS-UD-PROC-LTM-002</v>
          </cell>
          <cell r="B326" t="str">
            <v>DOMAIN-PROCUREMENT</v>
          </cell>
          <cell r="C326" t="str">
            <v>test_009_cif_customs_buyer</v>
          </cell>
          <cell r="F326" t="str">
            <v>Lead Time Calculator - Incoterms</v>
          </cell>
          <cell r="G326" t="str">
            <v>gemini</v>
          </cell>
          <cell r="J326" t="str">
            <v>codex</v>
          </cell>
        </row>
        <row r="327">
          <cell r="A327" t="str">
            <v>TS-UD-PROC-LTM-002</v>
          </cell>
          <cell r="B327" t="str">
            <v>DOMAIN-PROCUREMENT</v>
          </cell>
          <cell r="C327" t="str">
            <v>test_010_ddp_seller_full_responsibility</v>
          </cell>
          <cell r="F327" t="str">
            <v>Lead Time Calculator - Incoterms</v>
          </cell>
          <cell r="G327" t="str">
            <v>gemini</v>
          </cell>
          <cell r="J327" t="str">
            <v>codex</v>
          </cell>
        </row>
        <row r="328">
          <cell r="A328" t="str">
            <v>TS-UD-PROC-LTM-002</v>
          </cell>
          <cell r="B328" t="str">
            <v>DOMAIN-PROCUREMENT</v>
          </cell>
          <cell r="C328" t="str">
            <v>test_011_ddp_no_customs_buyer</v>
          </cell>
          <cell r="F328" t="str">
            <v>Lead Time Calculator - Incoterms</v>
          </cell>
          <cell r="G328" t="str">
            <v>gemini</v>
          </cell>
          <cell r="J328" t="str">
            <v>codex</v>
          </cell>
        </row>
        <row r="329">
          <cell r="A329" t="str">
            <v>TS-UD-PROC-LTM-002</v>
          </cell>
          <cell r="B329" t="str">
            <v>DOMAIN-PROCUREMENT</v>
          </cell>
          <cell r="C329" t="str">
            <v>test_012_ddp_door_to_door</v>
          </cell>
          <cell r="F329" t="str">
            <v>Lead Time Calculator - Incoterms</v>
          </cell>
          <cell r="G329" t="str">
            <v>gemini</v>
          </cell>
          <cell r="J329" t="str">
            <v>codex</v>
          </cell>
        </row>
        <row r="330">
          <cell r="A330" t="str">
            <v>TS-UD-PROC-LTM-002</v>
          </cell>
          <cell r="B330" t="str">
            <v>DOMAIN-PROCUREMENT</v>
          </cell>
          <cell r="C330" t="str">
            <v>test_013_incoterm_comparison_same_route</v>
          </cell>
          <cell r="F330" t="str">
            <v>Lead Time Calculator - Incoterms</v>
          </cell>
          <cell r="G330" t="str">
            <v>gemini</v>
          </cell>
          <cell r="J330" t="str">
            <v>codex</v>
          </cell>
        </row>
        <row r="331">
          <cell r="A331" t="str">
            <v>TS-UD-PROC-LTM-002</v>
          </cell>
          <cell r="B331" t="str">
            <v>DOMAIN-PROCUREMENT</v>
          </cell>
          <cell r="C331" t="str">
            <v>test_014_incoterm_impact_on_lead_time</v>
          </cell>
          <cell r="F331" t="str">
            <v>Lead Time Calculator - Incoterms</v>
          </cell>
          <cell r="G331" t="str">
            <v>gemini</v>
          </cell>
          <cell r="J331" t="str">
            <v>codex</v>
          </cell>
        </row>
        <row r="332">
          <cell r="A332" t="str">
            <v>TS-UD-PROC-LTM-003</v>
          </cell>
          <cell r="B332" t="str">
            <v>DOMAIN-PROCUREMENT</v>
          </cell>
          <cell r="C332" t="str">
            <v>Tests not individually listed</v>
          </cell>
          <cell r="J332" t="str">
            <v>codex</v>
          </cell>
        </row>
        <row r="333">
          <cell r="A333" t="str">
            <v>TS-UD-PROC-LTM-004</v>
          </cell>
          <cell r="B333" t="str">
            <v>DOMAIN-PROCUREMENT</v>
          </cell>
          <cell r="C333" t="str">
            <v>Tests not individually listed</v>
          </cell>
          <cell r="J333" t="str">
            <v>codex</v>
          </cell>
        </row>
        <row r="334">
          <cell r="A334" t="str">
            <v>TS-UD-PROC-PLN-001</v>
          </cell>
          <cell r="B334" t="str">
            <v>DOMAIN-PROCUREMENT</v>
          </cell>
          <cell r="C334" t="str">
            <v>Tests not individually listed</v>
          </cell>
          <cell r="J334" t="str">
            <v>codex</v>
          </cell>
        </row>
        <row r="335">
          <cell r="A335" t="str">
            <v>TS-UD-STK-ENT-001</v>
          </cell>
          <cell r="B335" t="str">
            <v>DOMAIN-STAKEHOLDERS</v>
          </cell>
          <cell r="C335" t="str">
            <v>Tests not individually listed</v>
          </cell>
          <cell r="J335" t="str">
            <v>codex</v>
          </cell>
        </row>
        <row r="336">
          <cell r="A336" t="str">
            <v>TS-UD-STK-CLS-001</v>
          </cell>
          <cell r="B336" t="str">
            <v>DOMAIN-STAKEHOLDERS</v>
          </cell>
          <cell r="C336" t="str">
            <v>Tests not individually listed</v>
          </cell>
          <cell r="J336" t="str">
            <v>codex</v>
          </cell>
        </row>
        <row r="337">
          <cell r="A337" t="str">
            <v>TS-UD-STK-CLS-002</v>
          </cell>
          <cell r="B337" t="str">
            <v>DOMAIN-STAKEHOLDERS</v>
          </cell>
          <cell r="C337" t="str">
            <v>Tests not individually listed</v>
          </cell>
          <cell r="J337" t="str">
            <v>codex</v>
          </cell>
        </row>
        <row r="338">
          <cell r="A338" t="str">
            <v>TS-UD-STK-RAC-001</v>
          </cell>
          <cell r="B338" t="str">
            <v>DOMAIN-STAKEHOLDERS</v>
          </cell>
          <cell r="C338" t="str">
            <v>Tests not individually listed</v>
          </cell>
          <cell r="F338" t="str">
            <v>7- skateholders</v>
          </cell>
        </row>
        <row r="339">
          <cell r="A339" t="str">
            <v>TS-UD-STK-RAC-002</v>
          </cell>
          <cell r="B339" t="str">
            <v>DOMAIN-STAKEHOLDERS</v>
          </cell>
          <cell r="C339" t="str">
            <v>Tests not individually listed</v>
          </cell>
          <cell r="F339" t="str">
            <v>7- skateholders</v>
          </cell>
        </row>
        <row r="340">
          <cell r="A340" t="str">
            <v>TS-UD-STK-RAC-003</v>
          </cell>
          <cell r="B340" t="str">
            <v>DOMAIN-STAKEHOLDERS</v>
          </cell>
          <cell r="C340" t="str">
            <v>Tests not individually listed</v>
          </cell>
          <cell r="F340" t="str">
            <v>7- skateholders</v>
          </cell>
        </row>
        <row r="341">
          <cell r="A341" t="str">
            <v>TS-UD-STK-MAP-001</v>
          </cell>
          <cell r="B341" t="str">
            <v>DOMAIN-STAKEHOLDERS</v>
          </cell>
          <cell r="C341" t="str">
            <v>Tests not individually listed</v>
          </cell>
          <cell r="F341" t="str">
            <v>7- skateholders</v>
          </cell>
        </row>
        <row r="342">
          <cell r="A342" t="str">
            <v>TS-UD-ANA-ALR-001</v>
          </cell>
          <cell r="B342" t="str">
            <v>DOMAIN-ANALYSIS</v>
          </cell>
          <cell r="C342" t="str">
            <v>Tests not individually listed</v>
          </cell>
          <cell r="F342" t="str">
            <v>9 - analysis</v>
          </cell>
        </row>
        <row r="343">
          <cell r="A343" t="str">
            <v>TS-UD-ANA-GRP-001</v>
          </cell>
          <cell r="B343" t="str">
            <v>DOMAIN-ANALYSIS</v>
          </cell>
          <cell r="C343" t="str">
            <v>Tests not individually listed</v>
          </cell>
          <cell r="F343" t="str">
            <v>9 - analysis</v>
          </cell>
        </row>
        <row r="344">
          <cell r="A344" t="str">
            <v>TS-UD-ANA-GRP-002</v>
          </cell>
          <cell r="B344" t="str">
            <v>DOMAIN-ANALYSIS</v>
          </cell>
          <cell r="C344" t="str">
            <v>Tests not individually listed</v>
          </cell>
          <cell r="F344" t="str">
            <v>9 - analysis</v>
          </cell>
        </row>
        <row r="345">
          <cell r="A345" t="str">
            <v>TS-UD-ANA-SRC-001</v>
          </cell>
          <cell r="B345" t="str">
            <v>DOMAIN-ANALYSIS</v>
          </cell>
          <cell r="C345" t="str">
            <v>Tests not individually listed</v>
          </cell>
          <cell r="F345" t="str">
            <v>9 - analysis</v>
          </cell>
        </row>
        <row r="346">
          <cell r="A346" t="str">
            <v>TS-UD-ANA-HYB-001</v>
          </cell>
          <cell r="B346" t="str">
            <v>DOMAIN-ANALYSIS</v>
          </cell>
          <cell r="C346" t="str">
            <v>Tests not individually listed</v>
          </cell>
          <cell r="F346" t="str">
            <v>9 - analysis</v>
          </cell>
        </row>
        <row r="347">
          <cell r="A347" t="str">
            <v>TS-UA-DOC-UC-001</v>
          </cell>
          <cell r="B347" t="str">
            <v>APPLICATION-USE-CASES</v>
          </cell>
          <cell r="C347" t="str">
            <v>Tests not individually listed</v>
          </cell>
          <cell r="F347" t="str">
            <v>4- documents</v>
          </cell>
        </row>
        <row r="348">
          <cell r="A348" t="str">
            <v>TS-UA-DOC-UC-002</v>
          </cell>
          <cell r="B348" t="str">
            <v>APPLICATION-USE-CASES</v>
          </cell>
          <cell r="C348" t="str">
            <v>Tests not individually listed</v>
          </cell>
          <cell r="F348" t="str">
            <v>4- documents</v>
          </cell>
        </row>
        <row r="349">
          <cell r="A349" t="str">
            <v>TS-UA-DOC-UC-003</v>
          </cell>
          <cell r="B349" t="str">
            <v>APPLICATION-USE-CASES</v>
          </cell>
          <cell r="C349" t="str">
            <v>Tests not individually listed</v>
          </cell>
          <cell r="F349" t="str">
            <v>4- documents</v>
          </cell>
        </row>
        <row r="350">
          <cell r="A350" t="str">
            <v>TS-UA-COH-UC-001</v>
          </cell>
          <cell r="B350" t="str">
            <v>APPLICATION-USE-CASES</v>
          </cell>
          <cell r="C350" t="str">
            <v>Tests not individually listed</v>
          </cell>
          <cell r="F350" t="str">
            <v>5- coherence</v>
          </cell>
        </row>
        <row r="351">
          <cell r="A351" t="str">
            <v>TS-UA-COH-UC-002</v>
          </cell>
          <cell r="B351" t="str">
            <v>APPLICATION-USE-CASES</v>
          </cell>
          <cell r="C351" t="str">
            <v>Tests not individually listed</v>
          </cell>
          <cell r="F351" t="str">
            <v>5- coherence</v>
          </cell>
        </row>
        <row r="352">
          <cell r="A352" t="str">
            <v>TS-UA-PRJ-UC-001</v>
          </cell>
          <cell r="B352" t="str">
            <v>APPLICATION-USE-CASES</v>
          </cell>
          <cell r="C352" t="str">
            <v>Tests not individually listed</v>
          </cell>
          <cell r="F352" t="str">
            <v>6  - project</v>
          </cell>
          <cell r="J352" t="str">
            <v>codex</v>
          </cell>
        </row>
        <row r="353">
          <cell r="A353" t="str">
            <v>TS-UA-PRJ-UC-002</v>
          </cell>
          <cell r="B353" t="str">
            <v>APPLICATION-USE-CASES</v>
          </cell>
          <cell r="C353" t="str">
            <v>Tests not individually listed</v>
          </cell>
          <cell r="F353" t="str">
            <v>6  - project</v>
          </cell>
          <cell r="J353" t="str">
            <v>codex</v>
          </cell>
        </row>
        <row r="354">
          <cell r="A354" t="str">
            <v>TS-UA-PROC-UC-001</v>
          </cell>
          <cell r="B354" t="str">
            <v>APPLICATION-USE-CASES</v>
          </cell>
          <cell r="C354" t="str">
            <v>Tests not individually listed</v>
          </cell>
          <cell r="F354" t="str">
            <v>7- procurement</v>
          </cell>
        </row>
        <row r="355">
          <cell r="A355" t="str">
            <v>TS-UA-PROC-UC-002</v>
          </cell>
          <cell r="B355" t="str">
            <v>APPLICATION-USE-CASES</v>
          </cell>
          <cell r="C355" t="str">
            <v>Tests not individually listed</v>
          </cell>
          <cell r="F355" t="str">
            <v>7- procurement</v>
          </cell>
        </row>
        <row r="356">
          <cell r="A356" t="str">
            <v>TS-UA-STK-UC-001</v>
          </cell>
          <cell r="B356" t="str">
            <v>APPLICATION-USE-CASES</v>
          </cell>
          <cell r="C356" t="str">
            <v>Tests not individually listed</v>
          </cell>
          <cell r="F356" t="str">
            <v>8 - skateholders</v>
          </cell>
        </row>
        <row r="357">
          <cell r="A357" t="str">
            <v>TS-UA-STK-UC-002</v>
          </cell>
          <cell r="B357" t="str">
            <v>APPLICATION-USE-CASES</v>
          </cell>
          <cell r="C357" t="str">
            <v>Tests not individually listed</v>
          </cell>
          <cell r="F357" t="str">
            <v>8 - skateholders</v>
          </cell>
        </row>
        <row r="358">
          <cell r="A358" t="str">
            <v>TS-UA-ANA-UC-001</v>
          </cell>
          <cell r="B358" t="str">
            <v>APPLICATION-USE-CASES</v>
          </cell>
          <cell r="C358" t="str">
            <v>Tests not individually listed</v>
          </cell>
          <cell r="F358" t="str">
            <v>9 - analysis</v>
          </cell>
        </row>
        <row r="359">
          <cell r="A359" t="str">
            <v>TS-UA-ANA-UC-002</v>
          </cell>
          <cell r="B359" t="str">
            <v>APPLICATION-USE-CASES</v>
          </cell>
          <cell r="C359" t="str">
            <v>Tests not individually listed</v>
          </cell>
          <cell r="F359" t="str">
            <v>9 - analysis</v>
          </cell>
        </row>
        <row r="360">
          <cell r="A360" t="str">
            <v>TS-UA-SEC-UC-001</v>
          </cell>
          <cell r="B360" t="str">
            <v>APPLICATION-USE-CASES</v>
          </cell>
          <cell r="C360" t="str">
            <v>Tests not individually listed</v>
          </cell>
          <cell r="F360" t="str">
            <v>1 - security</v>
          </cell>
        </row>
        <row r="361">
          <cell r="A361" t="str">
            <v>TS-UA-SEC-UC-002</v>
          </cell>
          <cell r="B361" t="str">
            <v>APPLICATION-USE-CASES</v>
          </cell>
          <cell r="C361" t="str">
            <v>Tests not individually listed</v>
          </cell>
          <cell r="F361" t="str">
            <v>1 - security</v>
          </cell>
        </row>
        <row r="362">
          <cell r="A362" t="str">
            <v>TS-UA-SVC-EXT-001</v>
          </cell>
          <cell r="B362" t="str">
            <v>APPLICATION-SERVICES</v>
          </cell>
          <cell r="C362" t="str">
            <v>Tests not individually listed</v>
          </cell>
          <cell r="F362" t="str">
            <v>4- documents</v>
          </cell>
        </row>
        <row r="363">
          <cell r="A363" t="str">
            <v>TS-UA-SVC-EXT-002</v>
          </cell>
          <cell r="B363" t="str">
            <v>APPLICATION-SERVICES</v>
          </cell>
          <cell r="C363" t="str">
            <v>Tests not individually listed</v>
          </cell>
          <cell r="F363" t="str">
            <v>4- documents</v>
          </cell>
        </row>
        <row r="364">
          <cell r="A364" t="str">
            <v>TS-UA-SVC-COH-001</v>
          </cell>
          <cell r="B364" t="str">
            <v>APPLICATION-SERVICES</v>
          </cell>
          <cell r="C364" t="str">
            <v>Tests not individually listed</v>
          </cell>
          <cell r="F364" t="str">
            <v>5- coherence</v>
          </cell>
        </row>
        <row r="365">
          <cell r="A365" t="str">
            <v>TS-UA-SVC-PII-001</v>
          </cell>
          <cell r="B365" t="str">
            <v>APPLICATION-SERVICES</v>
          </cell>
          <cell r="C365" t="str">
            <v>Tests not individually listed</v>
          </cell>
          <cell r="F365" t="str">
            <v>4- documents</v>
          </cell>
        </row>
        <row r="366">
          <cell r="A366" t="str">
            <v>TS-UA-SVC-ANO-001</v>
          </cell>
          <cell r="B366" t="str">
            <v>APPLICATION-SERVICES</v>
          </cell>
          <cell r="C366" t="str">
            <v>Tests not individually listed</v>
          </cell>
          <cell r="F366" t="str">
            <v>1 - security</v>
          </cell>
        </row>
        <row r="367">
          <cell r="A367" t="str">
            <v>TS-UA-SVC-RTL-001</v>
          </cell>
          <cell r="B367" t="str">
            <v>APPLICATION-SERVICES</v>
          </cell>
          <cell r="C367" t="str">
            <v>Tests not individually listed</v>
          </cell>
          <cell r="F367" t="str">
            <v>12 -  API</v>
          </cell>
        </row>
        <row r="368">
          <cell r="A368" t="str">
            <v>TS-UA-SVC-BDG-001</v>
          </cell>
          <cell r="B368" t="str">
            <v>APPLICATION-SERVICES</v>
          </cell>
          <cell r="C368" t="str">
            <v>Tests not individually listed</v>
          </cell>
          <cell r="F368" t="str">
            <v>12 -  API</v>
          </cell>
        </row>
        <row r="369">
          <cell r="A369" t="str">
            <v>TS-UA-DTO-ALL-001</v>
          </cell>
          <cell r="B369" t="str">
            <v>APPLICATION-DTOS</v>
          </cell>
          <cell r="C369" t="str">
            <v>Tests not individually listed</v>
          </cell>
          <cell r="F369" t="str">
            <v>1 -  API</v>
          </cell>
          <cell r="J369" t="str">
            <v>CODEX</v>
          </cell>
        </row>
        <row r="370">
          <cell r="A370" t="str">
            <v>TS-UA-DTO-SER-001</v>
          </cell>
          <cell r="B370" t="str">
            <v>APPLICATION-DTOS</v>
          </cell>
          <cell r="C370" t="str">
            <v>Tests not individually listed</v>
          </cell>
          <cell r="F370" t="str">
            <v>1 -  API</v>
          </cell>
          <cell r="J370" t="str">
            <v>CODEX</v>
          </cell>
        </row>
        <row r="371">
          <cell r="A371" t="str">
            <v>TS-UAD-HTTP-RTR-001</v>
          </cell>
          <cell r="B371" t="str">
            <v>ADAPTERS-HTTP</v>
          </cell>
          <cell r="C371" t="str">
            <v>Tests not individually listed</v>
          </cell>
          <cell r="F371" t="str">
            <v>12 -  API</v>
          </cell>
        </row>
        <row r="372">
          <cell r="A372" t="str">
            <v>TS-UAD-HTTP-MDW-001</v>
          </cell>
          <cell r="B372" t="str">
            <v>ADAPTERS-HTTP</v>
          </cell>
          <cell r="C372" t="str">
            <v>Tests not individually listed</v>
          </cell>
          <cell r="F372" t="str">
            <v>12 -  API</v>
          </cell>
        </row>
        <row r="373">
          <cell r="A373" t="str">
            <v>TS-UAD-HTTP-ERR-001</v>
          </cell>
          <cell r="B373" t="str">
            <v>ADAPTERS-HTTP</v>
          </cell>
          <cell r="C373" t="str">
            <v>Tests not individually listed</v>
          </cell>
          <cell r="F373" t="str">
            <v>12 -  API</v>
          </cell>
          <cell r="J373" t="str">
            <v>CODEX</v>
          </cell>
        </row>
        <row r="374">
          <cell r="A374" t="str">
            <v>TS-UAD-PER-REP-001</v>
          </cell>
          <cell r="B374" t="str">
            <v>ADAPTERS-PERSISTENCE</v>
          </cell>
          <cell r="C374" t="str">
            <v>Tests not individually listed</v>
          </cell>
          <cell r="F374" t="str">
            <v>12 -  API</v>
          </cell>
        </row>
        <row r="375">
          <cell r="A375" t="str">
            <v>TS-UAD-PER-GRP-001</v>
          </cell>
          <cell r="B375" t="str">
            <v>ADAPTERS-PERSISTENCE</v>
          </cell>
          <cell r="C375" t="str">
            <v>Tests not individually listed</v>
          </cell>
          <cell r="F375" t="str">
            <v>12 -  API</v>
          </cell>
        </row>
        <row r="376">
          <cell r="A376" t="str">
            <v>TS-UAD-PER-RDS-001</v>
          </cell>
          <cell r="B376" t="str">
            <v>ADAPTERS-PERSISTENCE</v>
          </cell>
          <cell r="C376" t="str">
            <v>Tests not individually listed</v>
          </cell>
          <cell r="F376" t="str">
            <v>12 -  API</v>
          </cell>
        </row>
        <row r="377">
          <cell r="A377" t="str">
            <v>TS-UAD-PER-R2-001</v>
          </cell>
          <cell r="B377" t="str">
            <v>ADAPTERS-PERSISTENCE</v>
          </cell>
          <cell r="C377" t="str">
            <v>Tests not individually listed</v>
          </cell>
          <cell r="F377" t="str">
            <v>12 -  API</v>
          </cell>
        </row>
        <row r="378">
          <cell r="A378" t="str">
            <v>TS-INT-DB-CLS-001</v>
          </cell>
          <cell r="B378" t="str">
            <v>INTEGRATION</v>
          </cell>
          <cell r="C378" t="str">
            <v>Tests not individually listed</v>
          </cell>
          <cell r="F378" t="str">
            <v>4 - documents</v>
          </cell>
          <cell r="J378" t="str">
            <v>codex</v>
          </cell>
        </row>
        <row r="379">
          <cell r="A379" t="str">
            <v>TS-INT-DB-DOC-001</v>
          </cell>
          <cell r="B379" t="str">
            <v>INTEGRATION</v>
          </cell>
          <cell r="C379" t="str">
            <v>Tests not individually listed</v>
          </cell>
          <cell r="F379" t="str">
            <v>4 - documents</v>
          </cell>
          <cell r="J379" t="str">
            <v>codex</v>
          </cell>
        </row>
        <row r="380">
          <cell r="A380" t="str">
            <v>TS-INT-DB-WBS-001</v>
          </cell>
          <cell r="B380" t="str">
            <v>INTEGRATION</v>
          </cell>
          <cell r="C380" t="str">
            <v>Tests not individually listed</v>
          </cell>
          <cell r="F380" t="str">
            <v>6 - projects wbs</v>
          </cell>
          <cell r="J380" t="str">
            <v>codex</v>
          </cell>
        </row>
        <row r="381">
          <cell r="A381" t="str">
            <v>TS-INT-DB-BOM-001</v>
          </cell>
          <cell r="B381" t="str">
            <v>INTEGRATION</v>
          </cell>
          <cell r="C381" t="str">
            <v>Tests not individually listed</v>
          </cell>
          <cell r="F381" t="str">
            <v>7 - procuremenr</v>
          </cell>
        </row>
        <row r="382">
          <cell r="A382" t="str">
            <v>TS-INT-DB-COH-001</v>
          </cell>
          <cell r="B382" t="str">
            <v>INTEGRATION</v>
          </cell>
          <cell r="C382" t="str">
            <v>Tests not individually listed</v>
          </cell>
          <cell r="F382" t="str">
            <v>5 - coherence</v>
          </cell>
        </row>
        <row r="383">
          <cell r="A383" t="str">
            <v>TS-INT-DB-AUD-001</v>
          </cell>
          <cell r="B383" t="str">
            <v>INTEGRATION</v>
          </cell>
          <cell r="C383" t="str">
            <v>Tests not individually listed</v>
          </cell>
          <cell r="F383" t="str">
            <v>1 - security</v>
          </cell>
        </row>
        <row r="384">
          <cell r="A384" t="str">
            <v>TS-INT-EXT-LLM-001</v>
          </cell>
          <cell r="B384" t="str">
            <v>INTEGRATION</v>
          </cell>
          <cell r="C384" t="str">
            <v>Tests not individually listed</v>
          </cell>
          <cell r="F384" t="str">
            <v>11 - intregration</v>
          </cell>
        </row>
        <row r="385">
          <cell r="A385" t="str">
            <v>TS-INT-EXT-LLM-002</v>
          </cell>
          <cell r="B385" t="str">
            <v>INTEGRATION</v>
          </cell>
          <cell r="C385" t="str">
            <v>Tests not individually listed</v>
          </cell>
          <cell r="F385" t="str">
            <v>11 - intregration</v>
          </cell>
        </row>
        <row r="386">
          <cell r="A386" t="str">
            <v>TS-INT-GRP-NEO-001</v>
          </cell>
          <cell r="B386" t="str">
            <v>INTEGRATION</v>
          </cell>
          <cell r="C386" t="str">
            <v>Tests not individually listed</v>
          </cell>
          <cell r="F386" t="str">
            <v>9 - analysis</v>
          </cell>
        </row>
        <row r="387">
          <cell r="A387" t="str">
            <v>TS-INT-MOD-WBS-001</v>
          </cell>
          <cell r="B387" t="str">
            <v>INTEGRATION</v>
          </cell>
          <cell r="C387" t="str">
            <v>Tests not individually listed</v>
          </cell>
          <cell r="F387" t="str">
            <v>11 - intregration</v>
          </cell>
        </row>
        <row r="388">
          <cell r="A388" t="str">
            <v>TS-INT-MOD-DOC-001</v>
          </cell>
          <cell r="B388" t="str">
            <v>INTEGRATION</v>
          </cell>
          <cell r="C388" t="str">
            <v>Tests not individually listed</v>
          </cell>
          <cell r="F388" t="str">
            <v>11 - intregration</v>
          </cell>
        </row>
        <row r="389">
          <cell r="A389" t="str">
            <v>TS-INT-MOD-ANA-001</v>
          </cell>
          <cell r="B389" t="str">
            <v>INTEGRATION</v>
          </cell>
          <cell r="C389" t="str">
            <v>Tests not individually listed</v>
          </cell>
          <cell r="F389" t="str">
            <v>11 - intregration</v>
          </cell>
        </row>
        <row r="390">
          <cell r="A390" t="str">
            <v>TS-INT-MOD-STK-001</v>
          </cell>
          <cell r="B390" t="str">
            <v>INTEGRATION</v>
          </cell>
          <cell r="C390" t="str">
            <v>Tests not individually listed</v>
          </cell>
          <cell r="F390" t="str">
            <v>11 - intregration</v>
          </cell>
        </row>
        <row r="391">
          <cell r="A391" t="str">
            <v>TS-INT-EVT-BUS-001</v>
          </cell>
          <cell r="B391" t="str">
            <v>INTEGRATION</v>
          </cell>
          <cell r="C391" t="str">
            <v>Tests not individually listed</v>
          </cell>
          <cell r="F391" t="str">
            <v>3 - asyc arquitecture</v>
          </cell>
          <cell r="J391" t="str">
            <v>codex</v>
          </cell>
        </row>
        <row r="392">
          <cell r="A392" t="str">
            <v>TS-INT-EVT-CEL-001</v>
          </cell>
          <cell r="B392" t="str">
            <v>INTEGRATION</v>
          </cell>
          <cell r="C392" t="str">
            <v>Tests not individually listed</v>
          </cell>
          <cell r="F392" t="str">
            <v>13-  aysn arquitecture</v>
          </cell>
          <cell r="J392" t="str">
            <v>codex</v>
          </cell>
        </row>
        <row r="393">
          <cell r="A393" t="str">
            <v>TS-INT-EVT-DLQ-001</v>
          </cell>
          <cell r="B393" t="str">
            <v>INTEGRATION</v>
          </cell>
          <cell r="C393" t="str">
            <v>Tests not individually listed</v>
          </cell>
          <cell r="F393" t="str">
            <v>13-  aysn arquitecture</v>
          </cell>
          <cell r="J393" t="str">
            <v>codex</v>
          </cell>
        </row>
        <row r="394">
          <cell r="A394" t="str">
            <v>TS-E2E-FLW-DOC-001</v>
          </cell>
          <cell r="B394" t="str">
            <v>E2E</v>
          </cell>
          <cell r="C394" t="str">
            <v>Tests not individually listed</v>
          </cell>
          <cell r="F394" t="str">
            <v>14 - QA/E2E</v>
          </cell>
        </row>
        <row r="395">
          <cell r="A395" t="str">
            <v>TS-E2E-FLW-ALR-001</v>
          </cell>
          <cell r="B395" t="str">
            <v>E2E</v>
          </cell>
          <cell r="C395" t="str">
            <v>Tests not individually listed</v>
          </cell>
          <cell r="F395" t="str">
            <v>14 - QA/E2E</v>
          </cell>
        </row>
        <row r="396">
          <cell r="A396" t="str">
            <v>TS-E2E-FLW-BLK-001</v>
          </cell>
          <cell r="B396" t="str">
            <v>E2E</v>
          </cell>
          <cell r="C396" t="str">
            <v>Tests not individually listed</v>
          </cell>
          <cell r="F396" t="str">
            <v>14 - QA/E2E</v>
          </cell>
        </row>
        <row r="397">
          <cell r="A397" t="str">
            <v>TS-E2E-SEC-TNT-001</v>
          </cell>
          <cell r="B397" t="str">
            <v>E2E</v>
          </cell>
          <cell r="C397" t="str">
            <v>Tests not individually listed</v>
          </cell>
          <cell r="F397" t="str">
            <v>14 - QA/E2E</v>
          </cell>
          <cell r="J397" t="str">
            <v>claude</v>
          </cell>
        </row>
        <row r="398">
          <cell r="A398" t="str">
            <v>TS-E2E-SEC-MCP-001</v>
          </cell>
          <cell r="B398" t="str">
            <v>E2E</v>
          </cell>
          <cell r="C398" t="str">
            <v>Tests not individually listed</v>
          </cell>
          <cell r="F398" t="str">
            <v>14 - QA/E2E</v>
          </cell>
        </row>
        <row r="399">
          <cell r="A399" t="str">
            <v>TS-E2E-ERR-TIM-001</v>
          </cell>
          <cell r="B399" t="str">
            <v>E2E</v>
          </cell>
          <cell r="C399" t="str">
            <v>Tests not individually listed</v>
          </cell>
          <cell r="F399" t="str">
            <v>14 - QA/E2E</v>
          </cell>
        </row>
        <row r="400">
          <cell r="A400" t="str">
            <v>TS-E2E-ERR-CON-001</v>
          </cell>
          <cell r="B400" t="str">
            <v>E2E</v>
          </cell>
          <cell r="C400" t="str">
            <v>Tests not individually listed</v>
          </cell>
          <cell r="F400" t="str">
            <v>14 - QA/E2E</v>
          </cell>
        </row>
        <row r="401">
          <cell r="A401" t="str">
            <v>TS-E2E-ERR-REC-001</v>
          </cell>
          <cell r="B401" t="str">
            <v>E2E</v>
          </cell>
          <cell r="C401" t="str">
            <v>Tests not individually listed</v>
          </cell>
          <cell r="F401" t="str">
            <v>14 - QA/E2E</v>
          </cell>
        </row>
        <row r="402">
          <cell r="A402" t="str">
            <v>TS-E2E-PER-LRG-001</v>
          </cell>
          <cell r="B402" t="str">
            <v>E2E</v>
          </cell>
          <cell r="C402" t="str">
            <v>Tests not individually listed</v>
          </cell>
          <cell r="F402" t="str">
            <v>14 - QA/E2E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10C4-C2EB-41C2-BD87-B191B0E5D966}">
  <dimension ref="A1:Q404"/>
  <sheetViews>
    <sheetView zoomScale="85" zoomScaleNormal="85" workbookViewId="0">
      <selection activeCell="F10" sqref="F10"/>
    </sheetView>
  </sheetViews>
  <sheetFormatPr baseColWidth="10" defaultRowHeight="14.4"/>
  <cols>
    <col min="1" max="1" width="28.6640625" customWidth="1"/>
    <col min="2" max="2" width="18.6640625" customWidth="1"/>
    <col min="3" max="3" width="29.109375" hidden="1" customWidth="1"/>
    <col min="4" max="4" width="11.5546875" hidden="1" customWidth="1"/>
    <col min="5" max="5" width="17.6640625" hidden="1" customWidth="1"/>
    <col min="6" max="6" width="31" customWidth="1"/>
    <col min="7" max="8" width="0" hidden="1" customWidth="1"/>
    <col min="9" max="9" width="39.5546875" hidden="1" customWidth="1"/>
    <col min="10" max="10" width="39.5546875" customWidth="1"/>
    <col min="11" max="11" width="18.5546875" bestFit="1" customWidth="1"/>
    <col min="17" max="17" width="18.5546875" bestFit="1" customWidth="1"/>
  </cols>
  <sheetData>
    <row r="1" spans="1:11" ht="16.2" thickBot="1">
      <c r="A1" s="1" t="s">
        <v>0</v>
      </c>
      <c r="B1" s="1" t="s">
        <v>1</v>
      </c>
      <c r="C1" s="1" t="s">
        <v>2</v>
      </c>
      <c r="D1" s="1"/>
      <c r="E1" s="1"/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7</v>
      </c>
    </row>
    <row r="2" spans="1:11" ht="31.2" thickBot="1">
      <c r="A2" s="4" t="s">
        <v>8</v>
      </c>
      <c r="B2" s="4" t="s">
        <v>9</v>
      </c>
      <c r="C2" s="4" t="s">
        <v>10</v>
      </c>
      <c r="D2" s="4"/>
      <c r="E2" s="5"/>
      <c r="F2" s="6" t="s">
        <v>11</v>
      </c>
      <c r="G2" s="7" t="s">
        <v>12</v>
      </c>
      <c r="H2" s="7" t="s">
        <v>13</v>
      </c>
      <c r="I2" t="s">
        <v>14</v>
      </c>
      <c r="J2" t="s">
        <v>15</v>
      </c>
      <c r="K2" t="s">
        <v>15</v>
      </c>
    </row>
    <row r="3" spans="1:11" ht="31.2" thickBot="1">
      <c r="A3" s="4" t="s">
        <v>8</v>
      </c>
      <c r="B3" s="4" t="s">
        <v>9</v>
      </c>
      <c r="C3" s="4" t="s">
        <v>16</v>
      </c>
      <c r="D3" s="4"/>
      <c r="E3" s="5"/>
      <c r="F3" s="6" t="s">
        <v>11</v>
      </c>
      <c r="G3" s="7" t="s">
        <v>12</v>
      </c>
      <c r="H3" s="7" t="s">
        <v>13</v>
      </c>
      <c r="I3" t="s">
        <v>14</v>
      </c>
      <c r="J3" t="s">
        <v>15</v>
      </c>
    </row>
    <row r="4" spans="1:11" ht="31.2" thickBot="1">
      <c r="A4" s="4" t="s">
        <v>8</v>
      </c>
      <c r="B4" s="4" t="s">
        <v>9</v>
      </c>
      <c r="C4" s="4" t="s">
        <v>17</v>
      </c>
      <c r="D4" s="4"/>
      <c r="E4" s="5"/>
      <c r="F4" s="6" t="s">
        <v>11</v>
      </c>
      <c r="G4" s="7" t="s">
        <v>12</v>
      </c>
      <c r="H4" s="7" t="s">
        <v>13</v>
      </c>
      <c r="I4" t="s">
        <v>14</v>
      </c>
      <c r="J4" t="s">
        <v>15</v>
      </c>
    </row>
    <row r="5" spans="1:11" ht="46.2" thickBot="1">
      <c r="A5" s="4" t="s">
        <v>8</v>
      </c>
      <c r="B5" s="4" t="s">
        <v>9</v>
      </c>
      <c r="C5" s="4" t="s">
        <v>18</v>
      </c>
      <c r="D5" s="4"/>
      <c r="E5" s="5"/>
      <c r="F5" s="6" t="s">
        <v>11</v>
      </c>
      <c r="G5" s="7" t="s">
        <v>12</v>
      </c>
      <c r="H5" s="7" t="s">
        <v>13</v>
      </c>
      <c r="I5" t="s">
        <v>14</v>
      </c>
      <c r="J5" t="s">
        <v>15</v>
      </c>
    </row>
    <row r="6" spans="1:11" ht="31.2" thickBot="1">
      <c r="A6" s="4" t="s">
        <v>8</v>
      </c>
      <c r="B6" s="4" t="s">
        <v>9</v>
      </c>
      <c r="C6" s="4" t="s">
        <v>19</v>
      </c>
      <c r="D6" s="4"/>
      <c r="E6" s="5"/>
      <c r="F6" s="6" t="s">
        <v>11</v>
      </c>
      <c r="G6" s="7" t="s">
        <v>12</v>
      </c>
      <c r="H6" s="7" t="s">
        <v>13</v>
      </c>
      <c r="I6" t="s">
        <v>14</v>
      </c>
      <c r="J6" t="s">
        <v>15</v>
      </c>
    </row>
    <row r="7" spans="1:11" ht="31.2" thickBot="1">
      <c r="A7" s="4" t="s">
        <v>8</v>
      </c>
      <c r="B7" s="4" t="s">
        <v>9</v>
      </c>
      <c r="C7" s="4" t="s">
        <v>20</v>
      </c>
      <c r="D7" s="4"/>
      <c r="E7" s="5"/>
      <c r="F7" s="6" t="s">
        <v>11</v>
      </c>
      <c r="G7" s="7" t="s">
        <v>12</v>
      </c>
      <c r="H7" s="7" t="s">
        <v>13</v>
      </c>
      <c r="I7" t="s">
        <v>14</v>
      </c>
      <c r="J7" t="s">
        <v>15</v>
      </c>
    </row>
    <row r="8" spans="1:11" ht="31.2" thickBot="1">
      <c r="A8" s="4" t="s">
        <v>8</v>
      </c>
      <c r="B8" s="4" t="s">
        <v>9</v>
      </c>
      <c r="C8" s="4" t="s">
        <v>21</v>
      </c>
      <c r="D8" s="4"/>
      <c r="E8" s="5"/>
      <c r="F8" s="6" t="s">
        <v>11</v>
      </c>
      <c r="G8" s="7" t="s">
        <v>12</v>
      </c>
      <c r="H8" s="7" t="s">
        <v>13</v>
      </c>
      <c r="I8" t="s">
        <v>14</v>
      </c>
      <c r="J8" t="s">
        <v>15</v>
      </c>
    </row>
    <row r="9" spans="1:11" ht="31.2" thickBot="1">
      <c r="A9" s="4" t="s">
        <v>8</v>
      </c>
      <c r="B9" s="4" t="s">
        <v>9</v>
      </c>
      <c r="C9" s="4" t="s">
        <v>22</v>
      </c>
      <c r="D9" s="4"/>
      <c r="E9" s="5"/>
      <c r="F9" s="6" t="s">
        <v>11</v>
      </c>
      <c r="G9" s="7" t="s">
        <v>12</v>
      </c>
      <c r="H9" s="7" t="s">
        <v>13</v>
      </c>
      <c r="I9" t="s">
        <v>14</v>
      </c>
      <c r="J9" t="s">
        <v>15</v>
      </c>
    </row>
    <row r="10" spans="1:11" ht="31.2" thickBot="1">
      <c r="A10" s="4" t="s">
        <v>8</v>
      </c>
      <c r="B10" s="4" t="s">
        <v>9</v>
      </c>
      <c r="C10" s="4" t="s">
        <v>23</v>
      </c>
      <c r="D10" s="4"/>
      <c r="E10" s="5"/>
      <c r="F10" s="6" t="s">
        <v>11</v>
      </c>
      <c r="G10" s="7" t="s">
        <v>12</v>
      </c>
      <c r="H10" s="7" t="s">
        <v>13</v>
      </c>
      <c r="I10" t="s">
        <v>14</v>
      </c>
      <c r="J10" t="s">
        <v>15</v>
      </c>
    </row>
    <row r="11" spans="1:11" ht="31.2" thickBot="1">
      <c r="A11" s="4" t="s">
        <v>8</v>
      </c>
      <c r="B11" s="4" t="s">
        <v>9</v>
      </c>
      <c r="C11" s="4" t="s">
        <v>24</v>
      </c>
      <c r="D11" s="4"/>
      <c r="E11" s="5"/>
      <c r="F11" s="6" t="s">
        <v>11</v>
      </c>
      <c r="G11" s="7" t="s">
        <v>12</v>
      </c>
      <c r="H11" s="7" t="s">
        <v>13</v>
      </c>
      <c r="I11" t="s">
        <v>14</v>
      </c>
      <c r="J11" t="s">
        <v>15</v>
      </c>
    </row>
    <row r="12" spans="1:11" ht="31.2" thickBot="1">
      <c r="A12" s="4" t="s">
        <v>8</v>
      </c>
      <c r="B12" s="4" t="s">
        <v>9</v>
      </c>
      <c r="C12" s="4" t="s">
        <v>25</v>
      </c>
      <c r="D12" s="4"/>
      <c r="E12" s="5"/>
      <c r="F12" s="6" t="s">
        <v>11</v>
      </c>
      <c r="G12" s="7" t="s">
        <v>12</v>
      </c>
      <c r="H12" s="7" t="s">
        <v>13</v>
      </c>
      <c r="I12" t="s">
        <v>14</v>
      </c>
      <c r="J12" t="s">
        <v>15</v>
      </c>
    </row>
    <row r="13" spans="1:11" ht="31.2" thickBot="1">
      <c r="A13" s="4" t="s">
        <v>8</v>
      </c>
      <c r="B13" s="4" t="s">
        <v>9</v>
      </c>
      <c r="C13" s="4" t="s">
        <v>26</v>
      </c>
      <c r="D13" s="4"/>
      <c r="E13" s="5"/>
      <c r="F13" s="6" t="s">
        <v>11</v>
      </c>
      <c r="G13" s="7" t="s">
        <v>12</v>
      </c>
      <c r="H13" s="7" t="s">
        <v>13</v>
      </c>
      <c r="I13" t="s">
        <v>14</v>
      </c>
      <c r="J13" t="s">
        <v>15</v>
      </c>
    </row>
    <row r="14" spans="1:11" ht="31.2" thickBot="1">
      <c r="A14" s="4" t="s">
        <v>8</v>
      </c>
      <c r="B14" s="4" t="s">
        <v>9</v>
      </c>
      <c r="C14" s="4" t="s">
        <v>27</v>
      </c>
      <c r="D14" s="4"/>
      <c r="E14" s="5"/>
      <c r="F14" s="6" t="s">
        <v>11</v>
      </c>
      <c r="G14" s="7" t="s">
        <v>12</v>
      </c>
      <c r="H14" s="7" t="s">
        <v>13</v>
      </c>
      <c r="I14" t="s">
        <v>14</v>
      </c>
      <c r="J14" t="s">
        <v>15</v>
      </c>
    </row>
    <row r="15" spans="1:11" ht="31.2" thickBot="1">
      <c r="A15" s="4" t="s">
        <v>8</v>
      </c>
      <c r="B15" s="4" t="s">
        <v>9</v>
      </c>
      <c r="C15" s="4" t="s">
        <v>28</v>
      </c>
      <c r="D15" s="4"/>
      <c r="E15" s="5"/>
      <c r="F15" s="6" t="s">
        <v>11</v>
      </c>
      <c r="G15" s="7" t="s">
        <v>12</v>
      </c>
      <c r="H15" s="7" t="s">
        <v>13</v>
      </c>
      <c r="I15" t="s">
        <v>14</v>
      </c>
      <c r="J15" t="s">
        <v>15</v>
      </c>
    </row>
    <row r="16" spans="1:11" ht="31.2" thickBot="1">
      <c r="A16" s="4" t="s">
        <v>8</v>
      </c>
      <c r="B16" s="4" t="s">
        <v>9</v>
      </c>
      <c r="C16" s="4" t="s">
        <v>29</v>
      </c>
      <c r="D16" s="4"/>
      <c r="E16" s="5"/>
      <c r="F16" s="6" t="s">
        <v>11</v>
      </c>
      <c r="G16" s="7" t="s">
        <v>12</v>
      </c>
      <c r="H16" s="7" t="s">
        <v>13</v>
      </c>
      <c r="I16" t="s">
        <v>14</v>
      </c>
      <c r="J16" t="s">
        <v>15</v>
      </c>
    </row>
    <row r="17" spans="1:17" ht="31.2" thickBot="1">
      <c r="A17" s="4" t="s">
        <v>8</v>
      </c>
      <c r="B17" s="4" t="s">
        <v>9</v>
      </c>
      <c r="C17" s="4" t="s">
        <v>30</v>
      </c>
      <c r="D17" s="4"/>
      <c r="E17" s="5"/>
      <c r="F17" s="6" t="s">
        <v>11</v>
      </c>
      <c r="G17" s="7" t="s">
        <v>12</v>
      </c>
      <c r="H17" s="7" t="s">
        <v>13</v>
      </c>
      <c r="I17" t="s">
        <v>14</v>
      </c>
      <c r="J17" t="s">
        <v>15</v>
      </c>
    </row>
    <row r="18" spans="1:17" ht="31.2" thickBot="1">
      <c r="A18" s="4" t="s">
        <v>8</v>
      </c>
      <c r="B18" s="4" t="s">
        <v>9</v>
      </c>
      <c r="C18" s="4" t="s">
        <v>31</v>
      </c>
      <c r="D18" s="4"/>
      <c r="E18" s="5"/>
      <c r="F18" s="6" t="s">
        <v>11</v>
      </c>
      <c r="G18" s="7" t="s">
        <v>12</v>
      </c>
      <c r="H18" s="7" t="s">
        <v>13</v>
      </c>
      <c r="I18" t="s">
        <v>14</v>
      </c>
      <c r="J18" t="s">
        <v>15</v>
      </c>
    </row>
    <row r="19" spans="1:17" ht="31.2" thickBot="1">
      <c r="A19" s="4" t="s">
        <v>8</v>
      </c>
      <c r="B19" s="4" t="s">
        <v>9</v>
      </c>
      <c r="C19" s="4" t="s">
        <v>32</v>
      </c>
      <c r="D19" s="4"/>
      <c r="E19" s="5"/>
      <c r="F19" s="6" t="s">
        <v>11</v>
      </c>
      <c r="G19" s="7" t="s">
        <v>12</v>
      </c>
      <c r="H19" s="7" t="s">
        <v>13</v>
      </c>
      <c r="I19" t="s">
        <v>14</v>
      </c>
      <c r="J19" t="s">
        <v>15</v>
      </c>
    </row>
    <row r="20" spans="1:17" ht="31.2" thickBot="1">
      <c r="A20" s="4" t="s">
        <v>8</v>
      </c>
      <c r="B20" s="4" t="s">
        <v>9</v>
      </c>
      <c r="C20" s="4" t="s">
        <v>33</v>
      </c>
      <c r="D20" s="4"/>
      <c r="E20" s="5"/>
      <c r="F20" s="6" t="s">
        <v>11</v>
      </c>
      <c r="G20" s="7" t="s">
        <v>12</v>
      </c>
      <c r="H20" s="7" t="s">
        <v>13</v>
      </c>
      <c r="I20" t="s">
        <v>14</v>
      </c>
      <c r="J20" t="s">
        <v>15</v>
      </c>
    </row>
    <row r="21" spans="1:17" ht="31.2" thickBot="1">
      <c r="A21" s="4" t="s">
        <v>8</v>
      </c>
      <c r="B21" s="4" t="s">
        <v>9</v>
      </c>
      <c r="C21" s="4" t="s">
        <v>34</v>
      </c>
      <c r="D21" s="4"/>
      <c r="E21" s="5"/>
      <c r="F21" s="6" t="s">
        <v>11</v>
      </c>
      <c r="G21" s="7" t="s">
        <v>12</v>
      </c>
      <c r="H21" s="7" t="s">
        <v>13</v>
      </c>
      <c r="I21" t="s">
        <v>14</v>
      </c>
      <c r="J21" t="s">
        <v>15</v>
      </c>
    </row>
    <row r="22" spans="1:17" ht="31.2" thickBot="1">
      <c r="A22" s="4" t="s">
        <v>8</v>
      </c>
      <c r="B22" s="4" t="s">
        <v>9</v>
      </c>
      <c r="C22" s="4" t="s">
        <v>35</v>
      </c>
      <c r="D22" s="4"/>
      <c r="E22" s="5"/>
      <c r="F22" s="6" t="s">
        <v>11</v>
      </c>
      <c r="G22" s="7" t="s">
        <v>12</v>
      </c>
      <c r="H22" s="7" t="s">
        <v>13</v>
      </c>
      <c r="I22" t="s">
        <v>14</v>
      </c>
      <c r="J22" t="s">
        <v>15</v>
      </c>
    </row>
    <row r="23" spans="1:17" ht="31.2" thickBot="1">
      <c r="A23" s="4" t="s">
        <v>8</v>
      </c>
      <c r="B23" s="4" t="s">
        <v>9</v>
      </c>
      <c r="C23" s="4" t="s">
        <v>36</v>
      </c>
      <c r="D23" s="4"/>
      <c r="E23" s="5"/>
      <c r="F23" s="6" t="s">
        <v>11</v>
      </c>
      <c r="G23" s="7" t="s">
        <v>12</v>
      </c>
      <c r="H23" s="7" t="s">
        <v>13</v>
      </c>
      <c r="I23" t="s">
        <v>14</v>
      </c>
      <c r="J23" t="s">
        <v>15</v>
      </c>
    </row>
    <row r="24" spans="1:17" ht="31.2" thickBot="1">
      <c r="A24" s="4" t="s">
        <v>37</v>
      </c>
      <c r="B24" s="4" t="s">
        <v>9</v>
      </c>
      <c r="C24" s="4" t="s">
        <v>38</v>
      </c>
      <c r="D24" s="4"/>
      <c r="E24" s="5"/>
      <c r="F24" s="6" t="s">
        <v>39</v>
      </c>
      <c r="G24" s="7" t="s">
        <v>12</v>
      </c>
      <c r="H24" s="7" t="s">
        <v>13</v>
      </c>
      <c r="I24" t="s">
        <v>14</v>
      </c>
      <c r="J24" t="s">
        <v>15</v>
      </c>
      <c r="K24" t="str">
        <f>CONCATENATE(A24,C24)</f>
        <v>TS-UC-SEC-MCP-002test_001_request_under_limit_allowed</v>
      </c>
      <c r="Q24" t="s">
        <v>40</v>
      </c>
    </row>
    <row r="25" spans="1:17" ht="31.2" thickBot="1">
      <c r="A25" s="4" t="s">
        <v>37</v>
      </c>
      <c r="B25" s="4" t="s">
        <v>9</v>
      </c>
      <c r="C25" s="4" t="s">
        <v>41</v>
      </c>
      <c r="D25" s="4"/>
      <c r="E25" s="5"/>
      <c r="F25" s="6" t="s">
        <v>39</v>
      </c>
      <c r="G25" s="7" t="s">
        <v>12</v>
      </c>
      <c r="H25" s="7" t="s">
        <v>13</v>
      </c>
      <c r="I25" t="s">
        <v>14</v>
      </c>
      <c r="J25" t="s">
        <v>15</v>
      </c>
      <c r="K25" t="str">
        <f t="shared" ref="K25:K88" si="0">CONCATENATE(A25,C25)</f>
        <v>TS-UC-SEC-MCP-002test_002_request_at_limit_59_allowed</v>
      </c>
      <c r="Q25" t="s">
        <v>42</v>
      </c>
    </row>
    <row r="26" spans="1:17" ht="31.2" thickBot="1">
      <c r="A26" s="4" t="s">
        <v>37</v>
      </c>
      <c r="B26" s="4" t="s">
        <v>9</v>
      </c>
      <c r="C26" s="4" t="s">
        <v>43</v>
      </c>
      <c r="D26" s="4"/>
      <c r="E26" s="5"/>
      <c r="F26" s="6" t="s">
        <v>39</v>
      </c>
      <c r="G26" s="7" t="s">
        <v>12</v>
      </c>
      <c r="H26" s="7" t="s">
        <v>13</v>
      </c>
      <c r="I26" t="s">
        <v>14</v>
      </c>
      <c r="J26" t="s">
        <v>15</v>
      </c>
      <c r="K26" t="str">
        <f t="shared" si="0"/>
        <v>TS-UC-SEC-MCP-002test_003_request_at_limit_60_allowed</v>
      </c>
      <c r="Q26" t="s">
        <v>44</v>
      </c>
    </row>
    <row r="27" spans="1:17" ht="31.2" thickBot="1">
      <c r="A27" s="4" t="s">
        <v>37</v>
      </c>
      <c r="B27" s="4" t="s">
        <v>9</v>
      </c>
      <c r="C27" s="4" t="s">
        <v>45</v>
      </c>
      <c r="D27" s="4"/>
      <c r="E27" s="5"/>
      <c r="F27" s="6" t="s">
        <v>39</v>
      </c>
      <c r="G27" s="7" t="s">
        <v>12</v>
      </c>
      <c r="H27" s="7" t="s">
        <v>13</v>
      </c>
      <c r="I27" t="s">
        <v>14</v>
      </c>
      <c r="J27" t="s">
        <v>15</v>
      </c>
      <c r="K27" t="str">
        <f t="shared" si="0"/>
        <v>TS-UC-SEC-MCP-002test_004_request_over_limit_61_blocked</v>
      </c>
      <c r="Q27" t="s">
        <v>46</v>
      </c>
    </row>
    <row r="28" spans="1:17" ht="31.2" thickBot="1">
      <c r="A28" s="4" t="s">
        <v>37</v>
      </c>
      <c r="B28" s="4" t="s">
        <v>9</v>
      </c>
      <c r="C28" s="4" t="s">
        <v>47</v>
      </c>
      <c r="D28" s="4"/>
      <c r="E28" s="5"/>
      <c r="F28" s="6" t="s">
        <v>39</v>
      </c>
      <c r="G28" s="7" t="s">
        <v>12</v>
      </c>
      <c r="H28" s="7" t="s">
        <v>13</v>
      </c>
      <c r="I28" t="s">
        <v>14</v>
      </c>
      <c r="J28" t="s">
        <v>15</v>
      </c>
      <c r="K28" t="str">
        <f t="shared" si="0"/>
        <v>TS-UC-SEC-MCP-002test_005_request_over_limit_100_blocked</v>
      </c>
      <c r="Q28" t="s">
        <v>48</v>
      </c>
    </row>
    <row r="29" spans="1:17" ht="31.2" thickBot="1">
      <c r="A29" s="4" t="s">
        <v>37</v>
      </c>
      <c r="B29" s="4" t="s">
        <v>9</v>
      </c>
      <c r="C29" s="4" t="s">
        <v>49</v>
      </c>
      <c r="D29" s="4"/>
      <c r="E29" s="5"/>
      <c r="F29" s="6" t="s">
        <v>39</v>
      </c>
      <c r="G29" s="7" t="s">
        <v>12</v>
      </c>
      <c r="H29" s="7" t="s">
        <v>13</v>
      </c>
      <c r="I29" t="s">
        <v>14</v>
      </c>
      <c r="J29" t="s">
        <v>15</v>
      </c>
      <c r="K29" t="str">
        <f t="shared" si="0"/>
        <v>TS-UC-SEC-MCP-002test_006_window_reset_after_60_seconds</v>
      </c>
      <c r="Q29" t="s">
        <v>50</v>
      </c>
    </row>
    <row r="30" spans="1:17" ht="31.2" thickBot="1">
      <c r="A30" s="4" t="s">
        <v>37</v>
      </c>
      <c r="B30" s="4" t="s">
        <v>9</v>
      </c>
      <c r="C30" s="4" t="s">
        <v>51</v>
      </c>
      <c r="D30" s="4"/>
      <c r="E30" s="5"/>
      <c r="F30" s="6" t="s">
        <v>39</v>
      </c>
      <c r="G30" s="7" t="s">
        <v>12</v>
      </c>
      <c r="H30" s="7" t="s">
        <v>13</v>
      </c>
      <c r="I30" t="s">
        <v>14</v>
      </c>
      <c r="J30" t="s">
        <v>15</v>
      </c>
      <c r="K30" t="str">
        <f t="shared" si="0"/>
        <v>TS-UC-SEC-MCP-002test_007_tenant_isolation_separate_counters</v>
      </c>
      <c r="Q30" t="s">
        <v>52</v>
      </c>
    </row>
    <row r="31" spans="1:17" ht="31.2" thickBot="1">
      <c r="A31" s="4" t="s">
        <v>37</v>
      </c>
      <c r="B31" s="4" t="s">
        <v>9</v>
      </c>
      <c r="C31" s="4" t="s">
        <v>53</v>
      </c>
      <c r="D31" s="4"/>
      <c r="E31" s="5"/>
      <c r="F31" s="6" t="s">
        <v>39</v>
      </c>
      <c r="G31" s="7" t="s">
        <v>12</v>
      </c>
      <c r="H31" s="7" t="s">
        <v>13</v>
      </c>
      <c r="I31" t="s">
        <v>14</v>
      </c>
      <c r="J31" t="s">
        <v>15</v>
      </c>
      <c r="K31" t="str">
        <f t="shared" si="0"/>
        <v>TS-UC-SEC-MCP-002test_008_tenant_a_full_tenant_b_available</v>
      </c>
      <c r="Q31" t="s">
        <v>54</v>
      </c>
    </row>
    <row r="32" spans="1:17" ht="31.2" thickBot="1">
      <c r="A32" s="4" t="s">
        <v>37</v>
      </c>
      <c r="B32" s="4" t="s">
        <v>9</v>
      </c>
      <c r="C32" s="4" t="s">
        <v>55</v>
      </c>
      <c r="D32" s="4"/>
      <c r="E32" s="5"/>
      <c r="F32" s="6" t="s">
        <v>39</v>
      </c>
      <c r="G32" s="7" t="s">
        <v>12</v>
      </c>
      <c r="H32" s="7" t="s">
        <v>13</v>
      </c>
      <c r="I32" t="s">
        <v>14</v>
      </c>
      <c r="J32" t="s">
        <v>15</v>
      </c>
      <c r="K32" t="str">
        <f t="shared" si="0"/>
        <v>TS-UC-SEC-MCP-002test_009_sliding_window_calculation</v>
      </c>
      <c r="Q32" t="s">
        <v>56</v>
      </c>
    </row>
    <row r="33" spans="1:17" ht="31.2" thickBot="1">
      <c r="A33" s="4" t="s">
        <v>37</v>
      </c>
      <c r="B33" s="4" t="s">
        <v>9</v>
      </c>
      <c r="C33" s="4" t="s">
        <v>57</v>
      </c>
      <c r="D33" s="4"/>
      <c r="E33" s="5"/>
      <c r="F33" s="6" t="s">
        <v>39</v>
      </c>
      <c r="G33" s="7" t="s">
        <v>12</v>
      </c>
      <c r="H33" s="7" t="s">
        <v>13</v>
      </c>
      <c r="I33" t="s">
        <v>14</v>
      </c>
      <c r="J33" t="s">
        <v>15</v>
      </c>
      <c r="K33" t="str">
        <f t="shared" si="0"/>
        <v>TS-UC-SEC-MCP-002test_010_rate_limit_result_retry_after_header</v>
      </c>
      <c r="Q33" t="s">
        <v>58</v>
      </c>
    </row>
    <row r="34" spans="1:17" ht="31.2" thickBot="1">
      <c r="A34" s="4" t="s">
        <v>37</v>
      </c>
      <c r="B34" s="4" t="s">
        <v>9</v>
      </c>
      <c r="C34" s="4" t="s">
        <v>59</v>
      </c>
      <c r="D34" s="4"/>
      <c r="E34" s="5"/>
      <c r="F34" s="6" t="s">
        <v>39</v>
      </c>
      <c r="G34" s="7" t="s">
        <v>12</v>
      </c>
      <c r="H34" s="7" t="s">
        <v>13</v>
      </c>
      <c r="I34" t="s">
        <v>14</v>
      </c>
      <c r="J34" t="s">
        <v>15</v>
      </c>
      <c r="K34" t="str">
        <f t="shared" si="0"/>
        <v>TS-UC-SEC-MCP-002test_011_rate_limit_audit_log_on_block</v>
      </c>
      <c r="Q34" t="s">
        <v>60</v>
      </c>
    </row>
    <row r="35" spans="1:17" ht="31.2" thickBot="1">
      <c r="A35" s="4" t="s">
        <v>37</v>
      </c>
      <c r="B35" s="4" t="s">
        <v>9</v>
      </c>
      <c r="C35" s="4" t="s">
        <v>61</v>
      </c>
      <c r="D35" s="4"/>
      <c r="E35" s="5"/>
      <c r="F35" s="6" t="s">
        <v>39</v>
      </c>
      <c r="G35" s="7" t="s">
        <v>12</v>
      </c>
      <c r="H35" s="7" t="s">
        <v>13</v>
      </c>
      <c r="I35" t="s">
        <v>14</v>
      </c>
      <c r="J35" t="s">
        <v>15</v>
      </c>
      <c r="K35" t="str">
        <f t="shared" si="0"/>
        <v>TS-UC-SEC-MCP-002test_012_rate_limit_warning_at_80_percent</v>
      </c>
      <c r="Q35" t="s">
        <v>62</v>
      </c>
    </row>
    <row r="36" spans="1:17" ht="31.2" thickBot="1">
      <c r="A36" s="4" t="s">
        <v>37</v>
      </c>
      <c r="B36" s="4" t="s">
        <v>9</v>
      </c>
      <c r="C36" s="4" t="s">
        <v>63</v>
      </c>
      <c r="D36" s="4"/>
      <c r="E36" s="5"/>
      <c r="F36" s="6" t="s">
        <v>39</v>
      </c>
      <c r="G36" s="7" t="s">
        <v>12</v>
      </c>
      <c r="H36" s="7" t="s">
        <v>13</v>
      </c>
      <c r="I36" t="s">
        <v>14</v>
      </c>
      <c r="J36" t="s">
        <v>15</v>
      </c>
      <c r="K36" t="str">
        <f t="shared" si="0"/>
        <v>TS-UC-SEC-MCP-002test_013_concurrent_requests_race_condition</v>
      </c>
      <c r="Q36" t="s">
        <v>64</v>
      </c>
    </row>
    <row r="37" spans="1:17" ht="31.2" thickBot="1">
      <c r="A37" s="4" t="s">
        <v>37</v>
      </c>
      <c r="B37" s="4" t="s">
        <v>9</v>
      </c>
      <c r="C37" s="4" t="s">
        <v>65</v>
      </c>
      <c r="D37" s="4"/>
      <c r="E37" s="5"/>
      <c r="F37" s="6" t="s">
        <v>39</v>
      </c>
      <c r="G37" s="7" t="s">
        <v>12</v>
      </c>
      <c r="H37" s="7" t="s">
        <v>13</v>
      </c>
      <c r="I37" t="s">
        <v>14</v>
      </c>
      <c r="J37" t="s">
        <v>15</v>
      </c>
      <c r="K37" t="str">
        <f t="shared" si="0"/>
        <v>TS-UC-SEC-MCP-002test_014_rate_limit_reset_at_midnight</v>
      </c>
      <c r="Q37" t="s">
        <v>66</v>
      </c>
    </row>
    <row r="38" spans="1:17" ht="31.2" thickBot="1">
      <c r="A38" s="4" t="s">
        <v>37</v>
      </c>
      <c r="B38" s="4" t="s">
        <v>9</v>
      </c>
      <c r="C38" s="4" t="s">
        <v>67</v>
      </c>
      <c r="D38" s="4"/>
      <c r="E38" s="5"/>
      <c r="F38" s="6" t="s">
        <v>39</v>
      </c>
      <c r="G38" s="7" t="s">
        <v>12</v>
      </c>
      <c r="H38" s="7" t="s">
        <v>13</v>
      </c>
      <c r="I38" t="s">
        <v>14</v>
      </c>
      <c r="J38" t="s">
        <v>15</v>
      </c>
      <c r="K38" t="str">
        <f t="shared" si="0"/>
        <v>TS-UC-SEC-MCP-002test_edge_001_burst_59_requests_simultaneous</v>
      </c>
      <c r="Q38" t="s">
        <v>68</v>
      </c>
    </row>
    <row r="39" spans="1:17" ht="31.2" thickBot="1">
      <c r="A39" s="4" t="s">
        <v>37</v>
      </c>
      <c r="B39" s="4" t="s">
        <v>9</v>
      </c>
      <c r="C39" s="4" t="s">
        <v>69</v>
      </c>
      <c r="D39" s="4"/>
      <c r="E39" s="5"/>
      <c r="F39" s="6" t="s">
        <v>39</v>
      </c>
      <c r="G39" s="7" t="s">
        <v>12</v>
      </c>
      <c r="H39" s="7" t="s">
        <v>13</v>
      </c>
      <c r="I39" t="s">
        <v>14</v>
      </c>
      <c r="J39" t="s">
        <v>15</v>
      </c>
      <c r="K39" t="str">
        <f t="shared" si="0"/>
        <v>TS-UC-SEC-MCP-002test_edge_002_exactly_60_second_boundary</v>
      </c>
      <c r="Q39" t="s">
        <v>70</v>
      </c>
    </row>
    <row r="40" spans="1:17" ht="31.2" thickBot="1">
      <c r="A40" s="4" t="s">
        <v>37</v>
      </c>
      <c r="B40" s="4" t="s">
        <v>9</v>
      </c>
      <c r="C40" s="4" t="s">
        <v>71</v>
      </c>
      <c r="D40" s="4"/>
      <c r="E40" s="5"/>
      <c r="F40" s="6" t="s">
        <v>39</v>
      </c>
      <c r="G40" s="7" t="s">
        <v>12</v>
      </c>
      <c r="H40" s="7" t="s">
        <v>13</v>
      </c>
      <c r="I40" t="s">
        <v>14</v>
      </c>
      <c r="J40" t="s">
        <v>15</v>
      </c>
      <c r="K40" t="str">
        <f t="shared" si="0"/>
        <v>TS-UC-SEC-MCP-002test_edge_003_clock_skew_handling</v>
      </c>
      <c r="Q40" t="s">
        <v>72</v>
      </c>
    </row>
    <row r="41" spans="1:17" ht="31.2" thickBot="1">
      <c r="A41" s="4" t="s">
        <v>73</v>
      </c>
      <c r="B41" s="4" t="s">
        <v>9</v>
      </c>
      <c r="C41" s="4" t="s">
        <v>74</v>
      </c>
      <c r="D41" s="4"/>
      <c r="E41" s="5"/>
      <c r="F41" s="6" t="s">
        <v>75</v>
      </c>
      <c r="G41" s="7" t="s">
        <v>12</v>
      </c>
      <c r="H41" s="7" t="s">
        <v>13</v>
      </c>
      <c r="I41" t="s">
        <v>76</v>
      </c>
      <c r="J41" t="s">
        <v>15</v>
      </c>
      <c r="K41" t="str">
        <f t="shared" si="0"/>
        <v>TS-UC-SEC-MCP-003test_001_query_under_5s_allowed</v>
      </c>
    </row>
    <row r="42" spans="1:17" ht="31.2" thickBot="1">
      <c r="A42" s="4" t="s">
        <v>73</v>
      </c>
      <c r="B42" s="4" t="s">
        <v>9</v>
      </c>
      <c r="C42" s="4" t="s">
        <v>77</v>
      </c>
      <c r="D42" s="4"/>
      <c r="E42" s="5"/>
      <c r="F42" s="6" t="s">
        <v>75</v>
      </c>
      <c r="G42" s="7" t="s">
        <v>12</v>
      </c>
      <c r="H42" s="7" t="s">
        <v>13</v>
      </c>
      <c r="I42" t="s">
        <v>76</v>
      </c>
      <c r="J42" t="s">
        <v>15</v>
      </c>
      <c r="K42" t="str">
        <f t="shared" si="0"/>
        <v>TS-UC-SEC-MCP-003test_002_query_at_5s_allowed</v>
      </c>
    </row>
    <row r="43" spans="1:17" ht="31.2" thickBot="1">
      <c r="A43" s="4" t="s">
        <v>73</v>
      </c>
      <c r="B43" s="4" t="s">
        <v>9</v>
      </c>
      <c r="C43" s="4" t="s">
        <v>78</v>
      </c>
      <c r="D43" s="4"/>
      <c r="E43" s="5"/>
      <c r="F43" s="6" t="s">
        <v>75</v>
      </c>
      <c r="G43" s="7" t="s">
        <v>12</v>
      </c>
      <c r="H43" s="7" t="s">
        <v>13</v>
      </c>
      <c r="I43" t="s">
        <v>76</v>
      </c>
      <c r="J43" t="s">
        <v>15</v>
      </c>
      <c r="K43" t="str">
        <f t="shared" si="0"/>
        <v>TS-UC-SEC-MCP-003test_003_query_over_5s_timeout_cancelled</v>
      </c>
    </row>
    <row r="44" spans="1:17" ht="31.2" thickBot="1">
      <c r="A44" s="4" t="s">
        <v>73</v>
      </c>
      <c r="B44" s="4" t="s">
        <v>9</v>
      </c>
      <c r="C44" s="4" t="s">
        <v>79</v>
      </c>
      <c r="D44" s="4"/>
      <c r="E44" s="5"/>
      <c r="F44" s="6" t="s">
        <v>75</v>
      </c>
      <c r="G44" s="7" t="s">
        <v>12</v>
      </c>
      <c r="H44" s="7" t="s">
        <v>13</v>
      </c>
      <c r="I44" t="s">
        <v>76</v>
      </c>
      <c r="J44" t="s">
        <v>15</v>
      </c>
      <c r="K44" t="str">
        <f t="shared" si="0"/>
        <v>TS-UC-SEC-MCP-003test_004_query_result_under_1000_rows_allowed</v>
      </c>
    </row>
    <row r="45" spans="1:17" ht="31.2" thickBot="1">
      <c r="A45" s="4" t="s">
        <v>73</v>
      </c>
      <c r="B45" s="4" t="s">
        <v>9</v>
      </c>
      <c r="C45" s="4" t="s">
        <v>80</v>
      </c>
      <c r="D45" s="4"/>
      <c r="E45" s="5"/>
      <c r="F45" s="6" t="s">
        <v>75</v>
      </c>
      <c r="G45" s="7" t="s">
        <v>12</v>
      </c>
      <c r="H45" s="7" t="s">
        <v>13</v>
      </c>
      <c r="I45" t="s">
        <v>76</v>
      </c>
      <c r="J45" t="s">
        <v>15</v>
      </c>
      <c r="K45" t="str">
        <f t="shared" si="0"/>
        <v>TS-UC-SEC-MCP-003test_005_query_result_at_1000_rows_allowed</v>
      </c>
    </row>
    <row r="46" spans="1:17" ht="31.2" thickBot="1">
      <c r="A46" s="4" t="s">
        <v>73</v>
      </c>
      <c r="B46" s="4" t="s">
        <v>9</v>
      </c>
      <c r="C46" s="4" t="s">
        <v>81</v>
      </c>
      <c r="D46" s="4"/>
      <c r="E46" s="5"/>
      <c r="F46" s="6" t="s">
        <v>75</v>
      </c>
      <c r="G46" s="7" t="s">
        <v>12</v>
      </c>
      <c r="H46" s="7" t="s">
        <v>13</v>
      </c>
      <c r="I46" t="s">
        <v>76</v>
      </c>
      <c r="J46" t="s">
        <v>15</v>
      </c>
      <c r="K46" t="str">
        <f t="shared" si="0"/>
        <v>TS-UC-SEC-MCP-003test_006_query_result_over_1000_rows_truncated</v>
      </c>
    </row>
    <row r="47" spans="1:17" ht="31.2" thickBot="1">
      <c r="A47" s="4" t="s">
        <v>73</v>
      </c>
      <c r="B47" s="4" t="s">
        <v>9</v>
      </c>
      <c r="C47" s="4" t="s">
        <v>82</v>
      </c>
      <c r="D47" s="4"/>
      <c r="E47" s="5"/>
      <c r="F47" s="6" t="s">
        <v>75</v>
      </c>
      <c r="G47" s="7" t="s">
        <v>12</v>
      </c>
      <c r="H47" s="7" t="s">
        <v>13</v>
      </c>
      <c r="I47" t="s">
        <v>76</v>
      </c>
      <c r="J47" t="s">
        <v>15</v>
      </c>
      <c r="K47" t="str">
        <f t="shared" si="0"/>
        <v>TS-UC-SEC-MCP-003test_007_query_result_truncated_flag_set</v>
      </c>
    </row>
    <row r="48" spans="1:17" ht="31.2" thickBot="1">
      <c r="A48" s="4" t="s">
        <v>73</v>
      </c>
      <c r="B48" s="4" t="s">
        <v>9</v>
      </c>
      <c r="C48" s="4" t="s">
        <v>83</v>
      </c>
      <c r="D48" s="4"/>
      <c r="E48" s="5"/>
      <c r="F48" s="6" t="s">
        <v>75</v>
      </c>
      <c r="G48" s="7" t="s">
        <v>12</v>
      </c>
      <c r="H48" s="7" t="s">
        <v>13</v>
      </c>
      <c r="I48" t="s">
        <v>76</v>
      </c>
      <c r="J48" t="s">
        <v>15</v>
      </c>
      <c r="K48" t="str">
        <f t="shared" si="0"/>
        <v>TS-UC-SEC-MCP-003test_008_timeout_returns_partial_results</v>
      </c>
    </row>
    <row r="49" spans="1:11" ht="31.2" thickBot="1">
      <c r="A49" s="4" t="s">
        <v>73</v>
      </c>
      <c r="B49" s="4" t="s">
        <v>9</v>
      </c>
      <c r="C49" s="4" t="s">
        <v>84</v>
      </c>
      <c r="D49" s="4"/>
      <c r="E49" s="5"/>
      <c r="F49" s="6" t="s">
        <v>75</v>
      </c>
      <c r="G49" s="7" t="s">
        <v>12</v>
      </c>
      <c r="H49" s="7" t="s">
        <v>13</v>
      </c>
      <c r="I49" t="s">
        <v>76</v>
      </c>
      <c r="J49" t="s">
        <v>15</v>
      </c>
      <c r="K49" t="str">
        <f t="shared" si="0"/>
        <v>TS-UC-SEC-MCP-003test_009_timeout_audit_log_created</v>
      </c>
    </row>
    <row r="50" spans="1:11" ht="31.2" thickBot="1">
      <c r="A50" s="4" t="s">
        <v>73</v>
      </c>
      <c r="B50" s="4" t="s">
        <v>9</v>
      </c>
      <c r="C50" s="4" t="s">
        <v>85</v>
      </c>
      <c r="D50" s="4"/>
      <c r="E50" s="5"/>
      <c r="F50" s="6" t="s">
        <v>75</v>
      </c>
      <c r="G50" s="7" t="s">
        <v>12</v>
      </c>
      <c r="H50" s="7" t="s">
        <v>13</v>
      </c>
      <c r="I50" t="s">
        <v>76</v>
      </c>
      <c r="J50" t="s">
        <v>15</v>
      </c>
      <c r="K50" t="str">
        <f t="shared" si="0"/>
        <v>TS-UC-SEC-MCP-003test_010_row_limit_audit_log_created</v>
      </c>
    </row>
    <row r="51" spans="1:11" ht="31.2" thickBot="1">
      <c r="A51" s="4" t="s">
        <v>73</v>
      </c>
      <c r="B51" s="4" t="s">
        <v>9</v>
      </c>
      <c r="C51" s="4" t="s">
        <v>86</v>
      </c>
      <c r="D51" s="4"/>
      <c r="E51" s="5"/>
      <c r="F51" s="6" t="s">
        <v>75</v>
      </c>
      <c r="G51" s="7" t="s">
        <v>12</v>
      </c>
      <c r="H51" s="7" t="s">
        <v>13</v>
      </c>
      <c r="I51" t="s">
        <v>76</v>
      </c>
      <c r="J51" t="s">
        <v>15</v>
      </c>
      <c r="K51" t="str">
        <f t="shared" si="0"/>
        <v>TS-UC-SEC-MCP-003test_011_combined_timeout_and_row_limit</v>
      </c>
    </row>
    <row r="52" spans="1:11" ht="31.2" thickBot="1">
      <c r="A52" s="4" t="s">
        <v>73</v>
      </c>
      <c r="B52" s="4" t="s">
        <v>9</v>
      </c>
      <c r="C52" s="4" t="s">
        <v>87</v>
      </c>
      <c r="D52" s="4"/>
      <c r="E52" s="5"/>
      <c r="F52" s="6" t="s">
        <v>75</v>
      </c>
      <c r="G52" s="7" t="s">
        <v>12</v>
      </c>
      <c r="H52" s="7" t="s">
        <v>13</v>
      </c>
      <c r="I52" t="s">
        <v>76</v>
      </c>
      <c r="J52" t="s">
        <v>15</v>
      </c>
      <c r="K52" t="str">
        <f t="shared" si="0"/>
        <v>TS-UC-SEC-MCP-003test_012_query_limit_config_per_tenant</v>
      </c>
    </row>
    <row r="53" spans="1:11" ht="31.2" thickBot="1">
      <c r="A53" s="4" t="s">
        <v>73</v>
      </c>
      <c r="B53" s="4" t="s">
        <v>9</v>
      </c>
      <c r="C53" s="4" t="s">
        <v>88</v>
      </c>
      <c r="D53" s="4"/>
      <c r="E53" s="5"/>
      <c r="F53" s="6" t="s">
        <v>75</v>
      </c>
      <c r="G53" s="7" t="s">
        <v>12</v>
      </c>
      <c r="H53" s="7" t="s">
        <v>13</v>
      </c>
      <c r="I53" t="s">
        <v>76</v>
      </c>
      <c r="J53" t="s">
        <v>15</v>
      </c>
      <c r="K53" t="str">
        <f t="shared" si="0"/>
        <v>TS-UC-SEC-MCP-003test_edge_001_exactly_1000_rows</v>
      </c>
    </row>
    <row r="54" spans="1:11" ht="31.2" thickBot="1">
      <c r="A54" s="4" t="s">
        <v>73</v>
      </c>
      <c r="B54" s="4" t="s">
        <v>9</v>
      </c>
      <c r="C54" s="4" t="s">
        <v>89</v>
      </c>
      <c r="D54" s="4"/>
      <c r="E54" s="5"/>
      <c r="F54" s="6" t="s">
        <v>75</v>
      </c>
      <c r="G54" s="7" t="s">
        <v>12</v>
      </c>
      <c r="H54" s="7" t="s">
        <v>13</v>
      </c>
      <c r="I54" t="s">
        <v>76</v>
      </c>
      <c r="J54" t="s">
        <v>15</v>
      </c>
      <c r="K54" t="str">
        <f t="shared" si="0"/>
        <v>TS-UC-SEC-MCP-003test_edge_002_empty_result_set</v>
      </c>
    </row>
    <row r="55" spans="1:11" ht="31.2" thickBot="1">
      <c r="A55" s="4" t="s">
        <v>73</v>
      </c>
      <c r="B55" s="4" t="s">
        <v>9</v>
      </c>
      <c r="C55" s="4" t="s">
        <v>90</v>
      </c>
      <c r="D55" s="4"/>
      <c r="E55" s="5"/>
      <c r="F55" s="6" t="s">
        <v>75</v>
      </c>
      <c r="G55" s="7" t="s">
        <v>12</v>
      </c>
      <c r="H55" s="7" t="s">
        <v>13</v>
      </c>
      <c r="I55" t="s">
        <v>76</v>
      </c>
      <c r="J55" t="s">
        <v>15</v>
      </c>
      <c r="K55" t="str">
        <f t="shared" si="0"/>
        <v>TS-UC-SEC-MCP-003test_edge_003_streaming_query_timeout</v>
      </c>
    </row>
    <row r="56" spans="1:11" ht="31.2" thickBot="1">
      <c r="A56" s="4" t="s">
        <v>91</v>
      </c>
      <c r="B56" s="4" t="s">
        <v>9</v>
      </c>
      <c r="C56" s="4" t="s">
        <v>92</v>
      </c>
      <c r="D56" s="4"/>
      <c r="E56" s="5"/>
      <c r="F56" s="6" t="s">
        <v>93</v>
      </c>
      <c r="G56" s="7" t="s">
        <v>12</v>
      </c>
      <c r="H56" s="7" t="s">
        <v>13</v>
      </c>
      <c r="I56" t="s">
        <v>14</v>
      </c>
      <c r="J56" t="s">
        <v>15</v>
      </c>
      <c r="K56" t="str">
        <f t="shared" si="0"/>
        <v>TS-UC-SEC-ANO-001test_001_detect_dni_valid_12345678Z</v>
      </c>
    </row>
    <row r="57" spans="1:11" ht="31.2" thickBot="1">
      <c r="A57" s="4" t="s">
        <v>91</v>
      </c>
      <c r="B57" s="4" t="s">
        <v>9</v>
      </c>
      <c r="C57" s="4" t="s">
        <v>94</v>
      </c>
      <c r="D57" s="4"/>
      <c r="E57" s="5"/>
      <c r="F57" s="6" t="s">
        <v>93</v>
      </c>
      <c r="G57" s="7" t="s">
        <v>12</v>
      </c>
      <c r="H57" s="7" t="s">
        <v>13</v>
      </c>
      <c r="I57" t="s">
        <v>14</v>
      </c>
      <c r="J57" t="s">
        <v>15</v>
      </c>
      <c r="K57" t="str">
        <f t="shared" si="0"/>
        <v>TS-UC-SEC-ANO-001test_002_detect_dni_valid_87654321X</v>
      </c>
    </row>
    <row r="58" spans="1:11" ht="31.2" thickBot="1">
      <c r="A58" s="4" t="s">
        <v>91</v>
      </c>
      <c r="B58" s="4" t="s">
        <v>9</v>
      </c>
      <c r="C58" s="4" t="s">
        <v>95</v>
      </c>
      <c r="D58" s="4"/>
      <c r="E58" s="5"/>
      <c r="F58" s="6" t="s">
        <v>93</v>
      </c>
      <c r="G58" s="7" t="s">
        <v>12</v>
      </c>
      <c r="H58" s="7" t="s">
        <v>13</v>
      </c>
      <c r="I58" t="s">
        <v>14</v>
      </c>
      <c r="J58" t="s">
        <v>15</v>
      </c>
      <c r="K58" t="str">
        <f t="shared" si="0"/>
        <v>TS-UC-SEC-ANO-001test_003_detect_dni_invalid_length_9_digits</v>
      </c>
    </row>
    <row r="59" spans="1:11" ht="31.2" thickBot="1">
      <c r="A59" s="4" t="s">
        <v>91</v>
      </c>
      <c r="B59" s="4" t="s">
        <v>9</v>
      </c>
      <c r="C59" s="4" t="s">
        <v>96</v>
      </c>
      <c r="D59" s="4"/>
      <c r="E59" s="5"/>
      <c r="F59" s="6" t="s">
        <v>93</v>
      </c>
      <c r="G59" s="7" t="s">
        <v>12</v>
      </c>
      <c r="H59" s="7" t="s">
        <v>13</v>
      </c>
      <c r="I59" t="s">
        <v>14</v>
      </c>
      <c r="J59" t="s">
        <v>15</v>
      </c>
      <c r="K59" t="str">
        <f t="shared" si="0"/>
        <v>TS-UC-SEC-ANO-001test_004_detect_dni_invalid_length_7_digits</v>
      </c>
    </row>
    <row r="60" spans="1:11" ht="31.2" thickBot="1">
      <c r="A60" s="4" t="s">
        <v>91</v>
      </c>
      <c r="B60" s="4" t="s">
        <v>9</v>
      </c>
      <c r="C60" s="4" t="s">
        <v>97</v>
      </c>
      <c r="D60" s="4"/>
      <c r="E60" s="5"/>
      <c r="F60" s="6" t="s">
        <v>93</v>
      </c>
      <c r="G60" s="7" t="s">
        <v>12</v>
      </c>
      <c r="H60" s="7" t="s">
        <v>13</v>
      </c>
      <c r="I60" t="s">
        <v>14</v>
      </c>
      <c r="J60" t="s">
        <v>15</v>
      </c>
      <c r="K60" t="str">
        <f t="shared" si="0"/>
        <v>TS-UC-SEC-ANO-001test_005_detect_dni_invalid_letter_checksum</v>
      </c>
    </row>
    <row r="61" spans="1:11" ht="31.2" thickBot="1">
      <c r="A61" s="4" t="s">
        <v>91</v>
      </c>
      <c r="B61" s="4" t="s">
        <v>9</v>
      </c>
      <c r="C61" s="4" t="s">
        <v>98</v>
      </c>
      <c r="D61" s="4"/>
      <c r="E61" s="5"/>
      <c r="F61" s="6" t="s">
        <v>93</v>
      </c>
      <c r="G61" s="7" t="s">
        <v>12</v>
      </c>
      <c r="H61" s="7" t="s">
        <v>13</v>
      </c>
      <c r="I61" t="s">
        <v>14</v>
      </c>
      <c r="J61" t="s">
        <v>15</v>
      </c>
      <c r="K61" t="str">
        <f t="shared" si="0"/>
        <v>TS-UC-SEC-ANO-001test_006_detect_multiple_dnis_in_text</v>
      </c>
    </row>
    <row r="62" spans="1:11" ht="31.2" thickBot="1">
      <c r="A62" s="4" t="s">
        <v>91</v>
      </c>
      <c r="B62" s="4" t="s">
        <v>9</v>
      </c>
      <c r="C62" s="4" t="s">
        <v>99</v>
      </c>
      <c r="D62" s="4"/>
      <c r="E62" s="5"/>
      <c r="F62" s="6" t="s">
        <v>93</v>
      </c>
      <c r="G62" s="7" t="s">
        <v>12</v>
      </c>
      <c r="H62" s="7" t="s">
        <v>13</v>
      </c>
      <c r="I62" t="s">
        <v>14</v>
      </c>
      <c r="J62" t="s">
        <v>15</v>
      </c>
      <c r="K62" t="str">
        <f t="shared" si="0"/>
        <v>TS-UC-SEC-ANO-001test_007_detect_email_simple</v>
      </c>
    </row>
    <row r="63" spans="1:11" ht="31.2" thickBot="1">
      <c r="A63" s="4" t="s">
        <v>91</v>
      </c>
      <c r="B63" s="4" t="s">
        <v>9</v>
      </c>
      <c r="C63" s="4" t="s">
        <v>100</v>
      </c>
      <c r="D63" s="4"/>
      <c r="E63" s="5"/>
      <c r="F63" s="6" t="s">
        <v>93</v>
      </c>
      <c r="G63" s="7" t="s">
        <v>12</v>
      </c>
      <c r="H63" s="7" t="s">
        <v>13</v>
      </c>
      <c r="I63" t="s">
        <v>14</v>
      </c>
      <c r="J63" t="s">
        <v>15</v>
      </c>
      <c r="K63" t="str">
        <f t="shared" si="0"/>
        <v>TS-UC-SEC-ANO-001test_008_detect_email_with_subdomain</v>
      </c>
    </row>
    <row r="64" spans="1:11" ht="31.2" thickBot="1">
      <c r="A64" s="4" t="s">
        <v>91</v>
      </c>
      <c r="B64" s="4" t="s">
        <v>9</v>
      </c>
      <c r="C64" s="4" t="s">
        <v>101</v>
      </c>
      <c r="D64" s="4"/>
      <c r="E64" s="5"/>
      <c r="F64" s="6" t="s">
        <v>93</v>
      </c>
      <c r="G64" s="7" t="s">
        <v>12</v>
      </c>
      <c r="H64" s="7" t="s">
        <v>13</v>
      </c>
      <c r="I64" t="s">
        <v>14</v>
      </c>
      <c r="J64" t="s">
        <v>15</v>
      </c>
      <c r="K64" t="str">
        <f t="shared" si="0"/>
        <v>TS-UC-SEC-ANO-001test_009_detect_email_with_plus_sign</v>
      </c>
    </row>
    <row r="65" spans="1:11" ht="31.2" thickBot="1">
      <c r="A65" s="4" t="s">
        <v>91</v>
      </c>
      <c r="B65" s="4" t="s">
        <v>9</v>
      </c>
      <c r="C65" s="4" t="s">
        <v>102</v>
      </c>
      <c r="D65" s="4"/>
      <c r="E65" s="5"/>
      <c r="F65" s="6" t="s">
        <v>93</v>
      </c>
      <c r="G65" s="7" t="s">
        <v>12</v>
      </c>
      <c r="H65" s="7" t="s">
        <v>13</v>
      </c>
      <c r="I65" t="s">
        <v>14</v>
      </c>
      <c r="J65" t="s">
        <v>15</v>
      </c>
      <c r="K65" t="str">
        <f t="shared" si="0"/>
        <v>TS-UC-SEC-ANO-001test_010_detect_email_invalid_no_at</v>
      </c>
    </row>
    <row r="66" spans="1:11" ht="31.2" thickBot="1">
      <c r="A66" s="4" t="s">
        <v>91</v>
      </c>
      <c r="B66" s="4" t="s">
        <v>9</v>
      </c>
      <c r="C66" s="4" t="s">
        <v>103</v>
      </c>
      <c r="D66" s="4"/>
      <c r="E66" s="5"/>
      <c r="F66" s="6" t="s">
        <v>93</v>
      </c>
      <c r="G66" s="7" t="s">
        <v>12</v>
      </c>
      <c r="H66" s="7" t="s">
        <v>13</v>
      </c>
      <c r="I66" t="s">
        <v>14</v>
      </c>
      <c r="J66" t="s">
        <v>15</v>
      </c>
      <c r="K66" t="str">
        <f t="shared" si="0"/>
        <v>TS-UC-SEC-ANO-001test_011_detect_multiple_emails_in_text</v>
      </c>
    </row>
    <row r="67" spans="1:11" ht="31.2" thickBot="1">
      <c r="A67" s="4" t="s">
        <v>91</v>
      </c>
      <c r="B67" s="4" t="s">
        <v>9</v>
      </c>
      <c r="C67" s="4" t="s">
        <v>104</v>
      </c>
      <c r="D67" s="4"/>
      <c r="E67" s="5"/>
      <c r="F67" s="6" t="s">
        <v>93</v>
      </c>
      <c r="G67" s="7" t="s">
        <v>12</v>
      </c>
      <c r="H67" s="7" t="s">
        <v>13</v>
      </c>
      <c r="I67" t="s">
        <v>14</v>
      </c>
      <c r="J67" t="s">
        <v>15</v>
      </c>
      <c r="K67" t="str">
        <f t="shared" si="0"/>
        <v>TS-UC-SEC-ANO-001test_012_detect_phone_mobile_612345678</v>
      </c>
    </row>
    <row r="68" spans="1:11" ht="31.2" thickBot="1">
      <c r="A68" s="4" t="s">
        <v>91</v>
      </c>
      <c r="B68" s="4" t="s">
        <v>9</v>
      </c>
      <c r="C68" s="4" t="s">
        <v>105</v>
      </c>
      <c r="D68" s="4"/>
      <c r="E68" s="5"/>
      <c r="F68" s="6" t="s">
        <v>93</v>
      </c>
      <c r="G68" s="7" t="s">
        <v>12</v>
      </c>
      <c r="H68" s="7" t="s">
        <v>13</v>
      </c>
      <c r="I68" t="s">
        <v>14</v>
      </c>
      <c r="J68" t="s">
        <v>15</v>
      </c>
      <c r="K68" t="str">
        <f t="shared" si="0"/>
        <v>TS-UC-SEC-ANO-001test_013_detect_phone_mobile_with_prefix_34</v>
      </c>
    </row>
    <row r="69" spans="1:11" ht="31.2" thickBot="1">
      <c r="A69" s="4" t="s">
        <v>91</v>
      </c>
      <c r="B69" s="4" t="s">
        <v>9</v>
      </c>
      <c r="C69" s="4" t="s">
        <v>106</v>
      </c>
      <c r="D69" s="4"/>
      <c r="E69" s="5"/>
      <c r="F69" s="6" t="s">
        <v>93</v>
      </c>
      <c r="G69" s="7" t="s">
        <v>12</v>
      </c>
      <c r="H69" s="7" t="s">
        <v>13</v>
      </c>
      <c r="I69" t="s">
        <v>14</v>
      </c>
      <c r="J69" t="s">
        <v>15</v>
      </c>
      <c r="K69" t="str">
        <f t="shared" si="0"/>
        <v>TS-UC-SEC-ANO-001test_014_detect_phone_landline_912345678</v>
      </c>
    </row>
    <row r="70" spans="1:11" ht="31.2" thickBot="1">
      <c r="A70" s="4" t="s">
        <v>91</v>
      </c>
      <c r="B70" s="4" t="s">
        <v>9</v>
      </c>
      <c r="C70" s="4" t="s">
        <v>107</v>
      </c>
      <c r="D70" s="4"/>
      <c r="E70" s="5"/>
      <c r="F70" s="6" t="s">
        <v>93</v>
      </c>
      <c r="G70" s="7" t="s">
        <v>12</v>
      </c>
      <c r="H70" s="7" t="s">
        <v>13</v>
      </c>
      <c r="I70" t="s">
        <v>14</v>
      </c>
      <c r="J70" t="s">
        <v>15</v>
      </c>
      <c r="K70" t="str">
        <f t="shared" si="0"/>
        <v>TS-UC-SEC-ANO-001test_015_detect_phone_invalid_short</v>
      </c>
    </row>
    <row r="71" spans="1:11" ht="31.2" thickBot="1">
      <c r="A71" s="4" t="s">
        <v>91</v>
      </c>
      <c r="B71" s="4" t="s">
        <v>9</v>
      </c>
      <c r="C71" s="4" t="s">
        <v>108</v>
      </c>
      <c r="D71" s="4"/>
      <c r="E71" s="5"/>
      <c r="F71" s="6" t="s">
        <v>93</v>
      </c>
      <c r="G71" s="7" t="s">
        <v>12</v>
      </c>
      <c r="H71" s="7" t="s">
        <v>13</v>
      </c>
      <c r="I71" t="s">
        <v>14</v>
      </c>
      <c r="J71" t="s">
        <v>15</v>
      </c>
      <c r="K71" t="str">
        <f t="shared" si="0"/>
        <v>TS-UC-SEC-ANO-001test_016_detect_multiple_phones_in_text</v>
      </c>
    </row>
    <row r="72" spans="1:11" ht="31.2" thickBot="1">
      <c r="A72" s="4" t="s">
        <v>91</v>
      </c>
      <c r="B72" s="4" t="s">
        <v>9</v>
      </c>
      <c r="C72" s="4" t="s">
        <v>109</v>
      </c>
      <c r="D72" s="4"/>
      <c r="E72" s="5"/>
      <c r="F72" s="6" t="s">
        <v>93</v>
      </c>
      <c r="G72" s="7" t="s">
        <v>12</v>
      </c>
      <c r="H72" s="7" t="s">
        <v>13</v>
      </c>
      <c r="I72" t="s">
        <v>14</v>
      </c>
      <c r="J72" t="s">
        <v>15</v>
      </c>
      <c r="K72" t="str">
        <f t="shared" si="0"/>
        <v>TS-UC-SEC-ANO-001test_017_detect_iban_spain_valid</v>
      </c>
    </row>
    <row r="73" spans="1:11" ht="31.2" thickBot="1">
      <c r="A73" s="4" t="s">
        <v>91</v>
      </c>
      <c r="B73" s="4" t="s">
        <v>9</v>
      </c>
      <c r="C73" s="4" t="s">
        <v>110</v>
      </c>
      <c r="D73" s="4"/>
      <c r="E73" s="5"/>
      <c r="F73" s="6" t="s">
        <v>93</v>
      </c>
      <c r="G73" s="7" t="s">
        <v>12</v>
      </c>
      <c r="H73" s="7" t="s">
        <v>13</v>
      </c>
      <c r="I73" t="s">
        <v>14</v>
      </c>
      <c r="J73" t="s">
        <v>15</v>
      </c>
      <c r="K73" t="str">
        <f t="shared" si="0"/>
        <v>TS-UC-SEC-ANO-001test_018_detect_iban_germany_valid</v>
      </c>
    </row>
    <row r="74" spans="1:11" ht="31.2" thickBot="1">
      <c r="A74" s="4" t="s">
        <v>91</v>
      </c>
      <c r="B74" s="4" t="s">
        <v>9</v>
      </c>
      <c r="C74" s="4" t="s">
        <v>111</v>
      </c>
      <c r="D74" s="4"/>
      <c r="E74" s="5"/>
      <c r="F74" s="6" t="s">
        <v>93</v>
      </c>
      <c r="G74" s="7" t="s">
        <v>12</v>
      </c>
      <c r="H74" s="7" t="s">
        <v>13</v>
      </c>
      <c r="I74" t="s">
        <v>14</v>
      </c>
      <c r="J74" t="s">
        <v>15</v>
      </c>
      <c r="K74" t="str">
        <f t="shared" si="0"/>
        <v>TS-UC-SEC-ANO-001test_019_detect_iban_invalid_checksum</v>
      </c>
    </row>
    <row r="75" spans="1:11" ht="31.2" thickBot="1">
      <c r="A75" s="4" t="s">
        <v>91</v>
      </c>
      <c r="B75" s="4" t="s">
        <v>9</v>
      </c>
      <c r="C75" s="4" t="s">
        <v>112</v>
      </c>
      <c r="D75" s="4"/>
      <c r="E75" s="5"/>
      <c r="F75" s="6" t="s">
        <v>93</v>
      </c>
      <c r="G75" s="7" t="s">
        <v>12</v>
      </c>
      <c r="H75" s="7" t="s">
        <v>13</v>
      </c>
      <c r="I75" t="s">
        <v>14</v>
      </c>
      <c r="J75" t="s">
        <v>15</v>
      </c>
      <c r="K75" t="str">
        <f t="shared" si="0"/>
        <v>TS-UC-SEC-ANO-001test_020_detect_iban_invalid_length</v>
      </c>
    </row>
    <row r="76" spans="1:11" ht="31.2" thickBot="1">
      <c r="A76" s="4" t="s">
        <v>91</v>
      </c>
      <c r="B76" s="4" t="s">
        <v>9</v>
      </c>
      <c r="C76" s="4" t="s">
        <v>113</v>
      </c>
      <c r="D76" s="4"/>
      <c r="E76" s="5"/>
      <c r="F76" s="6" t="s">
        <v>93</v>
      </c>
      <c r="G76" s="7" t="s">
        <v>12</v>
      </c>
      <c r="H76" s="7" t="s">
        <v>13</v>
      </c>
      <c r="I76" t="s">
        <v>14</v>
      </c>
      <c r="J76" t="s">
        <v>15</v>
      </c>
      <c r="K76" t="str">
        <f t="shared" si="0"/>
        <v>TS-UC-SEC-ANO-001test_021_detect_all_pii_types_in_document</v>
      </c>
    </row>
    <row r="77" spans="1:11" ht="31.2" thickBot="1">
      <c r="A77" s="4" t="s">
        <v>91</v>
      </c>
      <c r="B77" s="4" t="s">
        <v>9</v>
      </c>
      <c r="C77" s="4" t="s">
        <v>114</v>
      </c>
      <c r="D77" s="4"/>
      <c r="E77" s="5"/>
      <c r="F77" s="6" t="s">
        <v>93</v>
      </c>
      <c r="G77" s="7" t="s">
        <v>12</v>
      </c>
      <c r="H77" s="7" t="s">
        <v>13</v>
      </c>
      <c r="I77" t="s">
        <v>14</v>
      </c>
      <c r="J77" t="s">
        <v>15</v>
      </c>
      <c r="K77" t="str">
        <f t="shared" si="0"/>
        <v>TS-UC-SEC-ANO-001test_022_detect_no_pii_clean_document</v>
      </c>
    </row>
    <row r="78" spans="1:11" ht="31.2" thickBot="1">
      <c r="A78" s="4" t="s">
        <v>91</v>
      </c>
      <c r="B78" s="4" t="s">
        <v>9</v>
      </c>
      <c r="C78" s="4" t="s">
        <v>115</v>
      </c>
      <c r="D78" s="4"/>
      <c r="E78" s="5"/>
      <c r="F78" s="6" t="s">
        <v>93</v>
      </c>
      <c r="G78" s="7" t="s">
        <v>12</v>
      </c>
      <c r="H78" s="7" t="s">
        <v>13</v>
      </c>
      <c r="I78" t="s">
        <v>14</v>
      </c>
      <c r="J78" t="s">
        <v>15</v>
      </c>
      <c r="K78" t="str">
        <f t="shared" si="0"/>
        <v>TS-UC-SEC-ANO-001test_023_detect_pii_positions_returned</v>
      </c>
    </row>
    <row r="79" spans="1:11" ht="31.2" thickBot="1">
      <c r="A79" s="4" t="s">
        <v>91</v>
      </c>
      <c r="B79" s="4" t="s">
        <v>9</v>
      </c>
      <c r="C79" s="4" t="s">
        <v>116</v>
      </c>
      <c r="D79" s="4"/>
      <c r="E79" s="5"/>
      <c r="F79" s="6" t="s">
        <v>93</v>
      </c>
      <c r="G79" s="7" t="s">
        <v>12</v>
      </c>
      <c r="H79" s="7" t="s">
        <v>13</v>
      </c>
      <c r="I79" t="s">
        <v>14</v>
      </c>
      <c r="J79" t="s">
        <v>15</v>
      </c>
      <c r="K79" t="str">
        <f t="shared" si="0"/>
        <v>TS-UC-SEC-ANO-001test_024_detect_pii_counts_by_type</v>
      </c>
    </row>
    <row r="80" spans="1:11" ht="31.2" thickBot="1">
      <c r="A80" s="4" t="s">
        <v>91</v>
      </c>
      <c r="B80" s="4" t="s">
        <v>9</v>
      </c>
      <c r="C80" s="4" t="s">
        <v>117</v>
      </c>
      <c r="D80" s="4"/>
      <c r="E80" s="5"/>
      <c r="F80" s="6" t="s">
        <v>93</v>
      </c>
      <c r="G80" s="7" t="s">
        <v>12</v>
      </c>
      <c r="H80" s="7" t="s">
        <v>13</v>
      </c>
      <c r="I80" t="s">
        <v>14</v>
      </c>
      <c r="J80" t="s">
        <v>15</v>
      </c>
      <c r="K80" t="str">
        <f t="shared" si="0"/>
        <v>TS-UC-SEC-ANO-001test_edge_001_pii_in_different_languages</v>
      </c>
    </row>
    <row r="81" spans="1:11" ht="31.2" thickBot="1">
      <c r="A81" s="4" t="s">
        <v>91</v>
      </c>
      <c r="B81" s="4" t="s">
        <v>9</v>
      </c>
      <c r="C81" s="4" t="s">
        <v>118</v>
      </c>
      <c r="D81" s="4"/>
      <c r="E81" s="5"/>
      <c r="F81" s="6" t="s">
        <v>93</v>
      </c>
      <c r="G81" s="7" t="s">
        <v>12</v>
      </c>
      <c r="H81" s="7" t="s">
        <v>13</v>
      </c>
      <c r="I81" t="s">
        <v>14</v>
      </c>
      <c r="J81" t="s">
        <v>15</v>
      </c>
      <c r="K81" t="str">
        <f t="shared" si="0"/>
        <v>TS-UC-SEC-ANO-001test_edge_002_pii_with_unicode_characters</v>
      </c>
    </row>
    <row r="82" spans="1:11" ht="31.2" thickBot="1">
      <c r="A82" s="4" t="s">
        <v>91</v>
      </c>
      <c r="B82" s="4" t="s">
        <v>9</v>
      </c>
      <c r="C82" s="4" t="s">
        <v>119</v>
      </c>
      <c r="D82" s="4"/>
      <c r="E82" s="5"/>
      <c r="F82" s="6" t="s">
        <v>93</v>
      </c>
      <c r="J82" t="s">
        <v>15</v>
      </c>
      <c r="K82" t="str">
        <f t="shared" si="0"/>
        <v>TS-UC-SEC-ANO-001test_edge_003_pii_in_html_escaped_text</v>
      </c>
    </row>
    <row r="83" spans="1:11" ht="31.2" thickBot="1">
      <c r="A83" s="4" t="s">
        <v>120</v>
      </c>
      <c r="B83" s="4" t="s">
        <v>9</v>
      </c>
      <c r="C83" s="4" t="s">
        <v>121</v>
      </c>
      <c r="D83" s="4"/>
      <c r="E83" s="5"/>
      <c r="F83" s="6" t="s">
        <v>122</v>
      </c>
      <c r="G83" s="8" t="s">
        <v>12</v>
      </c>
      <c r="H83" s="7" t="s">
        <v>13</v>
      </c>
      <c r="J83" t="s">
        <v>15</v>
      </c>
      <c r="K83" t="str">
        <f t="shared" si="0"/>
        <v>TS-UC-SEC-ANO-002test_001_redact_dni_to_redacted</v>
      </c>
    </row>
    <row r="84" spans="1:11" ht="31.2" thickBot="1">
      <c r="A84" s="4" t="s">
        <v>120</v>
      </c>
      <c r="B84" s="4" t="s">
        <v>9</v>
      </c>
      <c r="C84" s="4" t="s">
        <v>123</v>
      </c>
      <c r="D84" s="4"/>
      <c r="E84" s="5"/>
      <c r="F84" s="6" t="s">
        <v>122</v>
      </c>
      <c r="G84" s="8" t="s">
        <v>12</v>
      </c>
      <c r="H84" s="7" t="s">
        <v>13</v>
      </c>
      <c r="J84" t="s">
        <v>15</v>
      </c>
      <c r="K84" t="str">
        <f t="shared" si="0"/>
        <v>TS-UC-SEC-ANO-002test_002_redact_email_to_redacted</v>
      </c>
    </row>
    <row r="85" spans="1:11" ht="31.2" thickBot="1">
      <c r="A85" s="4" t="s">
        <v>120</v>
      </c>
      <c r="B85" s="4" t="s">
        <v>9</v>
      </c>
      <c r="C85" s="4" t="s">
        <v>124</v>
      </c>
      <c r="D85" s="4"/>
      <c r="E85" s="5"/>
      <c r="F85" s="6" t="s">
        <v>122</v>
      </c>
      <c r="G85" s="8" t="s">
        <v>12</v>
      </c>
      <c r="H85" s="7" t="s">
        <v>13</v>
      </c>
      <c r="J85" t="s">
        <v>15</v>
      </c>
      <c r="K85" t="str">
        <f t="shared" si="0"/>
        <v>TS-UC-SEC-ANO-002test_003_redact_phone_to_redacted</v>
      </c>
    </row>
    <row r="86" spans="1:11" ht="31.2" thickBot="1">
      <c r="A86" s="4" t="s">
        <v>120</v>
      </c>
      <c r="B86" s="4" t="s">
        <v>9</v>
      </c>
      <c r="C86" s="4" t="s">
        <v>125</v>
      </c>
      <c r="D86" s="4"/>
      <c r="E86" s="5"/>
      <c r="F86" s="6" t="s">
        <v>122</v>
      </c>
      <c r="G86" s="8" t="s">
        <v>12</v>
      </c>
      <c r="H86" s="7" t="s">
        <v>13</v>
      </c>
      <c r="J86" t="s">
        <v>15</v>
      </c>
      <c r="K86" t="str">
        <f t="shared" si="0"/>
        <v>TS-UC-SEC-ANO-002test_004_redact_multiple_pii_all_redacted</v>
      </c>
    </row>
    <row r="87" spans="1:11" ht="31.2" thickBot="1">
      <c r="A87" s="4" t="s">
        <v>120</v>
      </c>
      <c r="B87" s="4" t="s">
        <v>9</v>
      </c>
      <c r="C87" s="4" t="s">
        <v>126</v>
      </c>
      <c r="D87" s="4"/>
      <c r="E87" s="5"/>
      <c r="F87" s="6" t="s">
        <v>122</v>
      </c>
      <c r="G87" s="8" t="s">
        <v>12</v>
      </c>
      <c r="H87" s="7" t="s">
        <v>13</v>
      </c>
      <c r="J87" t="s">
        <v>15</v>
      </c>
      <c r="K87" t="str">
        <f t="shared" si="0"/>
        <v>TS-UC-SEC-ANO-002test_005_hash_dni_deterministic</v>
      </c>
    </row>
    <row r="88" spans="1:11" ht="31.2" thickBot="1">
      <c r="A88" s="4" t="s">
        <v>120</v>
      </c>
      <c r="B88" s="4" t="s">
        <v>9</v>
      </c>
      <c r="C88" s="4" t="s">
        <v>127</v>
      </c>
      <c r="D88" s="4"/>
      <c r="E88" s="5"/>
      <c r="F88" s="6" t="s">
        <v>122</v>
      </c>
      <c r="G88" s="8" t="s">
        <v>12</v>
      </c>
      <c r="H88" s="7" t="s">
        <v>13</v>
      </c>
      <c r="J88" t="s">
        <v>15</v>
      </c>
      <c r="K88" t="str">
        <f t="shared" si="0"/>
        <v>TS-UC-SEC-ANO-002test_006_hash_same_value_same_hash</v>
      </c>
    </row>
    <row r="89" spans="1:11" ht="31.2" thickBot="1">
      <c r="A89" s="4" t="s">
        <v>120</v>
      </c>
      <c r="B89" s="4" t="s">
        <v>9</v>
      </c>
      <c r="C89" s="4" t="s">
        <v>128</v>
      </c>
      <c r="D89" s="4"/>
      <c r="E89" s="5"/>
      <c r="F89" s="6" t="s">
        <v>122</v>
      </c>
      <c r="G89" s="8" t="s">
        <v>12</v>
      </c>
      <c r="H89" s="7" t="s">
        <v>13</v>
      </c>
      <c r="J89" t="s">
        <v>15</v>
      </c>
      <c r="K89" t="str">
        <f t="shared" ref="K89:K152" si="1">CONCATENATE(A89,C89)</f>
        <v>TS-UC-SEC-ANO-002test_007_hash_different_values_different_hash</v>
      </c>
    </row>
    <row r="90" spans="1:11" ht="31.2" thickBot="1">
      <c r="A90" s="4" t="s">
        <v>120</v>
      </c>
      <c r="B90" s="4" t="s">
        <v>9</v>
      </c>
      <c r="C90" s="4" t="s">
        <v>129</v>
      </c>
      <c r="D90" s="4"/>
      <c r="E90" s="5"/>
      <c r="F90" s="6" t="s">
        <v>122</v>
      </c>
      <c r="G90" s="8" t="s">
        <v>12</v>
      </c>
      <c r="H90" s="7" t="s">
        <v>13</v>
      </c>
      <c r="J90" t="s">
        <v>15</v>
      </c>
      <c r="K90" t="str">
        <f t="shared" si="1"/>
        <v>TS-UC-SEC-ANO-002test_008_hash_irreversible_validation</v>
      </c>
    </row>
    <row r="91" spans="1:11" ht="31.2" thickBot="1">
      <c r="A91" s="4" t="s">
        <v>120</v>
      </c>
      <c r="B91" s="4" t="s">
        <v>9</v>
      </c>
      <c r="C91" s="4" t="s">
        <v>130</v>
      </c>
      <c r="D91" s="4"/>
      <c r="E91" s="5"/>
      <c r="F91" s="6" t="s">
        <v>122</v>
      </c>
      <c r="G91" s="8" t="s">
        <v>12</v>
      </c>
      <c r="H91" s="7" t="s">
        <v>13</v>
      </c>
      <c r="J91" t="s">
        <v>15</v>
      </c>
      <c r="K91" t="str">
        <f t="shared" si="1"/>
        <v>TS-UC-SEC-ANO-002test_009_pseudonymize_name_to_persona_001</v>
      </c>
    </row>
    <row r="92" spans="1:11" ht="31.2" thickBot="1">
      <c r="A92" s="4" t="s">
        <v>120</v>
      </c>
      <c r="B92" s="4" t="s">
        <v>9</v>
      </c>
      <c r="C92" s="4" t="s">
        <v>131</v>
      </c>
      <c r="D92" s="4"/>
      <c r="E92" s="5"/>
      <c r="F92" s="6" t="s">
        <v>122</v>
      </c>
      <c r="G92" s="8" t="s">
        <v>12</v>
      </c>
      <c r="H92" s="7" t="s">
        <v>13</v>
      </c>
      <c r="J92" t="s">
        <v>15</v>
      </c>
      <c r="K92" t="str">
        <f t="shared" si="1"/>
        <v>TS-UC-SEC-ANO-002test_010_pseudonymize_consistent_same_name</v>
      </c>
    </row>
    <row r="93" spans="1:11" ht="31.2" thickBot="1">
      <c r="A93" s="4" t="s">
        <v>120</v>
      </c>
      <c r="B93" s="4" t="s">
        <v>9</v>
      </c>
      <c r="C93" s="4" t="s">
        <v>132</v>
      </c>
      <c r="D93" s="4"/>
      <c r="E93" s="5"/>
      <c r="F93" s="6" t="s">
        <v>122</v>
      </c>
      <c r="G93" s="8" t="s">
        <v>12</v>
      </c>
      <c r="H93" s="7" t="s">
        <v>13</v>
      </c>
      <c r="J93" t="s">
        <v>15</v>
      </c>
      <c r="K93" t="str">
        <f t="shared" si="1"/>
        <v>TS-UC-SEC-ANO-002test_011_pseudonymize_different_names_different_ids</v>
      </c>
    </row>
    <row r="94" spans="1:11" ht="31.2" thickBot="1">
      <c r="A94" s="4" t="s">
        <v>120</v>
      </c>
      <c r="B94" s="4" t="s">
        <v>9</v>
      </c>
      <c r="C94" s="4" t="s">
        <v>133</v>
      </c>
      <c r="D94" s="4"/>
      <c r="E94" s="5"/>
      <c r="F94" s="6" t="s">
        <v>122</v>
      </c>
      <c r="G94" s="8" t="s">
        <v>12</v>
      </c>
      <c r="H94" s="7" t="s">
        <v>13</v>
      </c>
      <c r="J94" t="s">
        <v>15</v>
      </c>
      <c r="K94" t="str">
        <f t="shared" si="1"/>
        <v>TS-UC-SEC-ANO-002test_012_pseudonymize_in_context_preserved</v>
      </c>
    </row>
    <row r="95" spans="1:11" ht="31.2" thickBot="1">
      <c r="A95" s="4" t="s">
        <v>120</v>
      </c>
      <c r="B95" s="4" t="s">
        <v>9</v>
      </c>
      <c r="C95" s="4" t="s">
        <v>134</v>
      </c>
      <c r="D95" s="4"/>
      <c r="E95" s="5"/>
      <c r="F95" s="6" t="s">
        <v>122</v>
      </c>
      <c r="G95" s="8" t="s">
        <v>12</v>
      </c>
      <c r="H95" s="7" t="s">
        <v>13</v>
      </c>
      <c r="J95" t="s">
        <v>15</v>
      </c>
      <c r="K95" t="str">
        <f t="shared" si="1"/>
        <v>TS-UC-SEC-ANO-002test_013_strategy_by_pii_type_default</v>
      </c>
    </row>
    <row r="96" spans="1:11" ht="31.2" thickBot="1">
      <c r="A96" s="4" t="s">
        <v>120</v>
      </c>
      <c r="B96" s="4" t="s">
        <v>9</v>
      </c>
      <c r="C96" s="4" t="s">
        <v>135</v>
      </c>
      <c r="D96" s="4"/>
      <c r="E96" s="5"/>
      <c r="F96" s="6" t="s">
        <v>122</v>
      </c>
      <c r="G96" s="8" t="s">
        <v>12</v>
      </c>
      <c r="H96" s="7" t="s">
        <v>13</v>
      </c>
      <c r="J96" t="s">
        <v>15</v>
      </c>
      <c r="K96" t="str">
        <f t="shared" si="1"/>
        <v>TS-UC-SEC-ANO-002test_014_strategy_by_tenant_config</v>
      </c>
    </row>
    <row r="97" spans="1:11" ht="31.2" thickBot="1">
      <c r="A97" s="4" t="s">
        <v>120</v>
      </c>
      <c r="B97" s="4" t="s">
        <v>9</v>
      </c>
      <c r="C97" s="4" t="s">
        <v>136</v>
      </c>
      <c r="D97" s="4"/>
      <c r="E97" s="5"/>
      <c r="F97" s="6" t="s">
        <v>122</v>
      </c>
      <c r="G97" s="8" t="s">
        <v>12</v>
      </c>
      <c r="H97" s="7" t="s">
        <v>13</v>
      </c>
      <c r="J97" t="s">
        <v>15</v>
      </c>
      <c r="K97" t="str">
        <f t="shared" si="1"/>
        <v>TS-UC-SEC-ANO-002test_015_strategy_mixed_per_type</v>
      </c>
    </row>
    <row r="98" spans="1:11" ht="31.2" thickBot="1">
      <c r="A98" s="4" t="s">
        <v>120</v>
      </c>
      <c r="B98" s="4" t="s">
        <v>9</v>
      </c>
      <c r="C98" s="4" t="s">
        <v>137</v>
      </c>
      <c r="D98" s="4"/>
      <c r="E98" s="5"/>
      <c r="F98" s="6" t="s">
        <v>122</v>
      </c>
      <c r="G98" s="8" t="s">
        <v>12</v>
      </c>
      <c r="H98" s="7" t="s">
        <v>13</v>
      </c>
      <c r="J98" t="s">
        <v>15</v>
      </c>
      <c r="K98" t="str">
        <f t="shared" si="1"/>
        <v>TS-UC-SEC-ANO-002test_016_strategy_none_keeps_original</v>
      </c>
    </row>
    <row r="99" spans="1:11" ht="31.2" thickBot="1">
      <c r="A99" s="4" t="s">
        <v>120</v>
      </c>
      <c r="B99" s="4" t="s">
        <v>9</v>
      </c>
      <c r="C99" s="4" t="s">
        <v>138</v>
      </c>
      <c r="D99" s="4"/>
      <c r="E99" s="5"/>
      <c r="F99" s="6" t="s">
        <v>122</v>
      </c>
      <c r="G99" s="8" t="s">
        <v>12</v>
      </c>
      <c r="H99" s="7" t="s">
        <v>13</v>
      </c>
      <c r="J99" t="s">
        <v>15</v>
      </c>
      <c r="K99" t="str">
        <f t="shared" si="1"/>
        <v>TS-UC-SEC-ANO-002test_edge_001_nested_pii_in_pii</v>
      </c>
    </row>
    <row r="100" spans="1:11" ht="31.2" thickBot="1">
      <c r="A100" s="4" t="s">
        <v>120</v>
      </c>
      <c r="B100" s="4" t="s">
        <v>9</v>
      </c>
      <c r="C100" s="4" t="s">
        <v>139</v>
      </c>
      <c r="D100" s="4"/>
      <c r="E100" s="5"/>
      <c r="F100" s="6" t="s">
        <v>122</v>
      </c>
      <c r="G100" s="8" t="s">
        <v>12</v>
      </c>
      <c r="H100" s="7" t="s">
        <v>13</v>
      </c>
      <c r="J100" t="s">
        <v>15</v>
      </c>
      <c r="K100" t="str">
        <f t="shared" si="1"/>
        <v>TS-UC-SEC-ANO-002test_edge_002_overlapping_pii_positions</v>
      </c>
    </row>
    <row r="101" spans="1:11" ht="31.2" thickBot="1">
      <c r="A101" s="4" t="s">
        <v>120</v>
      </c>
      <c r="B101" s="4" t="s">
        <v>9</v>
      </c>
      <c r="C101" s="4" t="s">
        <v>140</v>
      </c>
      <c r="D101" s="4"/>
      <c r="E101" s="5"/>
      <c r="F101" s="6" t="s">
        <v>122</v>
      </c>
      <c r="G101" s="8" t="s">
        <v>12</v>
      </c>
      <c r="H101" s="7" t="s">
        <v>13</v>
      </c>
      <c r="J101" t="s">
        <v>15</v>
      </c>
      <c r="K101" t="str">
        <f t="shared" si="1"/>
        <v>TS-UC-SEC-ANO-002test_edge_003_empty_text_no_error</v>
      </c>
    </row>
    <row r="102" spans="1:11" ht="16.2" thickBot="1">
      <c r="A102" s="4" t="s">
        <v>141</v>
      </c>
      <c r="B102" s="4" t="s">
        <v>9</v>
      </c>
      <c r="C102" s="4" t="s">
        <v>142</v>
      </c>
      <c r="D102" s="4"/>
      <c r="E102" s="5"/>
      <c r="F102" s="6" t="s">
        <v>143</v>
      </c>
      <c r="G102" s="7" t="s">
        <v>12</v>
      </c>
      <c r="H102" s="7" t="s">
        <v>13</v>
      </c>
      <c r="J102" t="s">
        <v>15</v>
      </c>
      <c r="K102" t="str">
        <f t="shared" si="1"/>
        <v>TS-UC-SEC-ANO-003Tests not individually listed</v>
      </c>
    </row>
    <row r="103" spans="1:11" ht="16.2" thickBot="1">
      <c r="A103" s="4" t="s">
        <v>144</v>
      </c>
      <c r="B103" s="4" t="s">
        <v>9</v>
      </c>
      <c r="C103" s="4" t="s">
        <v>142</v>
      </c>
      <c r="D103" s="4"/>
      <c r="E103" s="5"/>
      <c r="F103" s="6" t="s">
        <v>143</v>
      </c>
      <c r="G103" s="7" t="s">
        <v>12</v>
      </c>
      <c r="H103" s="7" t="s">
        <v>13</v>
      </c>
      <c r="J103" t="s">
        <v>15</v>
      </c>
      <c r="K103" t="str">
        <f t="shared" si="1"/>
        <v>TS-UC-SEC-TNT-001Tests not individually listed</v>
      </c>
    </row>
    <row r="104" spans="1:11" ht="16.2" thickBot="1">
      <c r="A104" s="4" t="s">
        <v>145</v>
      </c>
      <c r="B104" s="4" t="s">
        <v>9</v>
      </c>
      <c r="C104" s="4" t="s">
        <v>142</v>
      </c>
      <c r="D104" s="4"/>
      <c r="E104" s="5"/>
      <c r="F104" s="6" t="s">
        <v>143</v>
      </c>
      <c r="G104" s="7" t="s">
        <v>12</v>
      </c>
      <c r="H104" s="7" t="s">
        <v>13</v>
      </c>
      <c r="K104" t="str">
        <f t="shared" si="1"/>
        <v>TS-UC-SEC-JWT-001Tests not individually listed</v>
      </c>
    </row>
    <row r="105" spans="1:11" ht="16.2" thickBot="1">
      <c r="A105" s="4" t="s">
        <v>146</v>
      </c>
      <c r="B105" s="4" t="s">
        <v>9</v>
      </c>
      <c r="C105" s="4" t="s">
        <v>142</v>
      </c>
      <c r="D105" s="4"/>
      <c r="E105" s="5"/>
      <c r="F105" s="6" t="s">
        <v>143</v>
      </c>
      <c r="G105" s="7" t="s">
        <v>12</v>
      </c>
      <c r="H105" s="7" t="s">
        <v>13</v>
      </c>
      <c r="K105" t="str">
        <f t="shared" si="1"/>
        <v>TS-UC-SEC-AUD-001Tests not individually listed</v>
      </c>
    </row>
    <row r="106" spans="1:11" ht="31.2" thickBot="1">
      <c r="A106" s="4" t="s">
        <v>147</v>
      </c>
      <c r="B106" s="4" t="s">
        <v>9</v>
      </c>
      <c r="C106" s="4" t="s">
        <v>148</v>
      </c>
      <c r="D106" s="4"/>
      <c r="E106" s="5"/>
      <c r="F106" s="6" t="s">
        <v>143</v>
      </c>
      <c r="G106" s="7" t="s">
        <v>12</v>
      </c>
      <c r="H106" s="7" t="s">
        <v>13</v>
      </c>
      <c r="J106" t="s">
        <v>15</v>
      </c>
      <c r="K106" t="str">
        <f t="shared" si="1"/>
        <v>TS-UC-SEC-GAM-001test_001_mass_changes_11_in_hour_detected</v>
      </c>
    </row>
    <row r="107" spans="1:11" ht="31.2" thickBot="1">
      <c r="A107" s="4" t="s">
        <v>147</v>
      </c>
      <c r="B107" s="4" t="s">
        <v>9</v>
      </c>
      <c r="C107" s="4" t="s">
        <v>149</v>
      </c>
      <c r="D107" s="4"/>
      <c r="E107" s="5"/>
      <c r="F107" s="6" t="s">
        <v>143</v>
      </c>
      <c r="G107" s="7" t="s">
        <v>12</v>
      </c>
      <c r="H107" s="7" t="s">
        <v>13</v>
      </c>
      <c r="J107" t="s">
        <v>15</v>
      </c>
      <c r="K107" t="str">
        <f t="shared" si="1"/>
        <v>TS-UC-SEC-GAM-001test_002_mass_changes_10_in_hour_allowed</v>
      </c>
    </row>
    <row r="108" spans="1:11" ht="31.2" thickBot="1">
      <c r="A108" s="4" t="s">
        <v>147</v>
      </c>
      <c r="B108" s="4" t="s">
        <v>9</v>
      </c>
      <c r="C108" s="4" t="s">
        <v>150</v>
      </c>
      <c r="D108" s="4"/>
      <c r="E108" s="5"/>
      <c r="F108" s="6" t="s">
        <v>143</v>
      </c>
      <c r="G108" s="7" t="s">
        <v>12</v>
      </c>
      <c r="H108" s="7" t="s">
        <v>13</v>
      </c>
      <c r="J108" t="s">
        <v>15</v>
      </c>
      <c r="K108" t="str">
        <f t="shared" si="1"/>
        <v>TS-UC-SEC-GAM-001test_003_mass_changes_window_reset</v>
      </c>
    </row>
    <row r="109" spans="1:11" ht="31.2" thickBot="1">
      <c r="A109" s="4" t="s">
        <v>147</v>
      </c>
      <c r="B109" s="4" t="s">
        <v>9</v>
      </c>
      <c r="C109" s="4" t="s">
        <v>151</v>
      </c>
      <c r="D109" s="4"/>
      <c r="E109" s="5"/>
      <c r="F109" s="6" t="s">
        <v>143</v>
      </c>
      <c r="G109" s="7" t="s">
        <v>12</v>
      </c>
      <c r="H109" s="7" t="s">
        <v>13</v>
      </c>
      <c r="J109" t="s">
        <v>15</v>
      </c>
      <c r="K109" t="str">
        <f t="shared" si="1"/>
        <v>TS-UC-SEC-GAM-001test_004_resolve_reintroduce_3_times_detected</v>
      </c>
    </row>
    <row r="110" spans="1:11" ht="31.2" thickBot="1">
      <c r="A110" s="4" t="s">
        <v>147</v>
      </c>
      <c r="B110" s="4" t="s">
        <v>9</v>
      </c>
      <c r="C110" s="4" t="s">
        <v>152</v>
      </c>
      <c r="D110" s="4"/>
      <c r="E110" s="5"/>
      <c r="F110" s="6" t="s">
        <v>143</v>
      </c>
      <c r="G110" s="7" t="s">
        <v>12</v>
      </c>
      <c r="H110" s="7" t="s">
        <v>13</v>
      </c>
      <c r="J110" t="s">
        <v>15</v>
      </c>
      <c r="K110" t="str">
        <f t="shared" si="1"/>
        <v>TS-UC-SEC-GAM-001test_005_resolve_reintroduce_2_times_allowed</v>
      </c>
    </row>
    <row r="111" spans="1:11" ht="31.2" thickBot="1">
      <c r="A111" s="4" t="s">
        <v>147</v>
      </c>
      <c r="B111" s="4" t="s">
        <v>9</v>
      </c>
      <c r="C111" s="4" t="s">
        <v>153</v>
      </c>
      <c r="D111" s="4"/>
      <c r="E111" s="5"/>
      <c r="F111" s="6" t="s">
        <v>143</v>
      </c>
      <c r="G111" s="7" t="s">
        <v>12</v>
      </c>
      <c r="H111" s="7" t="s">
        <v>13</v>
      </c>
      <c r="J111" t="s">
        <v>15</v>
      </c>
      <c r="K111" t="str">
        <f t="shared" si="1"/>
        <v>TS-UC-SEC-GAM-001test_006_resolve_reintroduce_different_hash_allowed</v>
      </c>
    </row>
    <row r="112" spans="1:11" ht="31.2" thickBot="1">
      <c r="A112" s="4" t="s">
        <v>147</v>
      </c>
      <c r="B112" s="4" t="s">
        <v>9</v>
      </c>
      <c r="C112" s="4" t="s">
        <v>154</v>
      </c>
      <c r="D112" s="4"/>
      <c r="E112" s="5"/>
      <c r="F112" s="6" t="s">
        <v>143</v>
      </c>
      <c r="G112" s="7" t="s">
        <v>12</v>
      </c>
      <c r="H112" s="7" t="s">
        <v>13</v>
      </c>
      <c r="J112" t="s">
        <v>15</v>
      </c>
      <c r="K112" t="str">
        <f t="shared" si="1"/>
        <v>TS-UC-SEC-GAM-001test_007_high_score_few_docs_detected</v>
      </c>
    </row>
    <row r="113" spans="1:11" ht="31.2" thickBot="1">
      <c r="A113" s="4" t="s">
        <v>147</v>
      </c>
      <c r="B113" s="4" t="s">
        <v>9</v>
      </c>
      <c r="C113" s="4" t="s">
        <v>155</v>
      </c>
      <c r="D113" s="4"/>
      <c r="E113" s="5"/>
      <c r="F113" s="6" t="s">
        <v>143</v>
      </c>
      <c r="G113" s="7" t="s">
        <v>12</v>
      </c>
      <c r="H113" s="7" t="s">
        <v>13</v>
      </c>
      <c r="J113" t="s">
        <v>15</v>
      </c>
      <c r="K113" t="str">
        <f t="shared" si="1"/>
        <v>TS-UC-SEC-GAM-001test_008_high_score_many_docs_allowed</v>
      </c>
    </row>
    <row r="114" spans="1:11" ht="31.2" thickBot="1">
      <c r="A114" s="4" t="s">
        <v>147</v>
      </c>
      <c r="B114" s="4" t="s">
        <v>9</v>
      </c>
      <c r="C114" s="4" t="s">
        <v>156</v>
      </c>
      <c r="D114" s="4"/>
      <c r="E114" s="5"/>
      <c r="F114" s="6" t="s">
        <v>143</v>
      </c>
      <c r="G114" s="7" t="s">
        <v>12</v>
      </c>
      <c r="H114" s="7" t="s">
        <v>13</v>
      </c>
      <c r="J114" t="s">
        <v>15</v>
      </c>
      <c r="K114" t="str">
        <f t="shared" si="1"/>
        <v>TS-UC-SEC-GAM-001test_009_high_score_threshold_boundary</v>
      </c>
    </row>
    <row r="115" spans="1:11" ht="31.2" thickBot="1">
      <c r="A115" s="4" t="s">
        <v>147</v>
      </c>
      <c r="B115" s="4" t="s">
        <v>9</v>
      </c>
      <c r="C115" s="4" t="s">
        <v>157</v>
      </c>
      <c r="D115" s="4"/>
      <c r="E115" s="5"/>
      <c r="F115" s="6" t="s">
        <v>143</v>
      </c>
      <c r="G115" s="7" t="s">
        <v>12</v>
      </c>
      <c r="H115" s="7" t="s">
        <v>13</v>
      </c>
      <c r="J115" t="s">
        <v>15</v>
      </c>
      <c r="K115" t="str">
        <f t="shared" si="1"/>
        <v>TS-UC-SEC-GAM-001test_010_weight_change_25_percent_detected</v>
      </c>
    </row>
    <row r="116" spans="1:11" ht="31.2" thickBot="1">
      <c r="A116" s="4" t="s">
        <v>147</v>
      </c>
      <c r="B116" s="4" t="s">
        <v>9</v>
      </c>
      <c r="C116" s="4" t="s">
        <v>158</v>
      </c>
      <c r="D116" s="4"/>
      <c r="E116" s="5"/>
      <c r="F116" s="6" t="s">
        <v>143</v>
      </c>
      <c r="G116" s="7" t="s">
        <v>12</v>
      </c>
      <c r="H116" s="7" t="s">
        <v>13</v>
      </c>
      <c r="J116" t="s">
        <v>15</v>
      </c>
      <c r="K116" t="str">
        <f t="shared" si="1"/>
        <v>TS-UC-SEC-GAM-001test_011_weight_change_15_percent_allowed</v>
      </c>
    </row>
    <row r="117" spans="1:11" ht="31.2" thickBot="1">
      <c r="A117" s="4" t="s">
        <v>147</v>
      </c>
      <c r="B117" s="4" t="s">
        <v>9</v>
      </c>
      <c r="C117" s="4" t="s">
        <v>159</v>
      </c>
      <c r="D117" s="4"/>
      <c r="E117" s="5"/>
      <c r="F117" s="6" t="s">
        <v>143</v>
      </c>
      <c r="G117" s="7" t="s">
        <v>12</v>
      </c>
      <c r="H117" s="7" t="s">
        <v>13</v>
      </c>
      <c r="J117" t="s">
        <v>15</v>
      </c>
      <c r="K117" t="str">
        <f t="shared" si="1"/>
        <v>TS-UC-SEC-GAM-001test_012_weight_change_tracking_24h_window</v>
      </c>
    </row>
    <row r="118" spans="1:11" ht="31.2" thickBot="1">
      <c r="A118" s="4" t="s">
        <v>147</v>
      </c>
      <c r="B118" s="4" t="s">
        <v>9</v>
      </c>
      <c r="C118" s="4" t="s">
        <v>160</v>
      </c>
      <c r="D118" s="4"/>
      <c r="E118" s="5"/>
      <c r="F118" s="6" t="s">
        <v>143</v>
      </c>
      <c r="G118" s="7" t="s">
        <v>12</v>
      </c>
      <c r="H118" s="7" t="s">
        <v>13</v>
      </c>
      <c r="J118" t="s">
        <v>15</v>
      </c>
      <c r="K118" t="str">
        <f t="shared" si="1"/>
        <v>TS-UC-SEC-GAM-001test_edge_001_multiple_violations_combined</v>
      </c>
    </row>
    <row r="119" spans="1:11" ht="31.2" thickBot="1">
      <c r="A119" s="4" t="s">
        <v>147</v>
      </c>
      <c r="B119" s="4" t="s">
        <v>9</v>
      </c>
      <c r="C119" s="4" t="s">
        <v>161</v>
      </c>
      <c r="D119" s="4"/>
      <c r="E119" s="5"/>
      <c r="F119" s="6" t="s">
        <v>143</v>
      </c>
      <c r="G119" s="7" t="s">
        <v>12</v>
      </c>
      <c r="H119" s="7" t="s">
        <v>13</v>
      </c>
      <c r="J119" t="s">
        <v>15</v>
      </c>
      <c r="K119" t="str">
        <f t="shared" si="1"/>
        <v>TS-UC-SEC-GAM-001test_edge_002_violation_penalty_application</v>
      </c>
    </row>
    <row r="120" spans="1:11" ht="31.2" thickBot="1">
      <c r="A120" s="4" t="s">
        <v>147</v>
      </c>
      <c r="B120" s="4" t="s">
        <v>9</v>
      </c>
      <c r="C120" s="4" t="s">
        <v>162</v>
      </c>
      <c r="D120" s="4"/>
      <c r="E120" s="5"/>
      <c r="F120" s="6" t="s">
        <v>143</v>
      </c>
      <c r="G120" s="7" t="s">
        <v>12</v>
      </c>
      <c r="H120" s="7" t="s">
        <v>13</v>
      </c>
      <c r="J120" t="s">
        <v>15</v>
      </c>
      <c r="K120" t="str">
        <f t="shared" si="1"/>
        <v>TS-UC-SEC-GAM-001test_edge_003_violation_audit_logging</v>
      </c>
    </row>
    <row r="121" spans="1:11" ht="31.2" thickBot="1">
      <c r="A121" s="4" t="s">
        <v>163</v>
      </c>
      <c r="B121" s="4" t="s">
        <v>164</v>
      </c>
      <c r="C121" s="4" t="s">
        <v>165</v>
      </c>
      <c r="D121" s="4"/>
      <c r="E121" s="5"/>
      <c r="F121" s="9" t="s">
        <v>166</v>
      </c>
      <c r="G121" s="7" t="s">
        <v>12</v>
      </c>
      <c r="H121" s="7" t="s">
        <v>13</v>
      </c>
      <c r="I121" t="s">
        <v>167</v>
      </c>
      <c r="J121" t="s">
        <v>15</v>
      </c>
      <c r="K121" t="str">
        <f t="shared" si="1"/>
        <v>TS-UD-DOC-CLS-001test_001_clause_creation_with_all_fields</v>
      </c>
    </row>
    <row r="122" spans="1:11" ht="31.2" thickBot="1">
      <c r="A122" s="4" t="s">
        <v>163</v>
      </c>
      <c r="B122" s="4" t="s">
        <v>164</v>
      </c>
      <c r="C122" s="4" t="s">
        <v>168</v>
      </c>
      <c r="D122" s="4"/>
      <c r="E122" s="5"/>
      <c r="F122" s="9" t="s">
        <v>166</v>
      </c>
      <c r="G122" s="7" t="s">
        <v>12</v>
      </c>
      <c r="H122" s="7" t="s">
        <v>13</v>
      </c>
      <c r="J122" t="s">
        <v>15</v>
      </c>
      <c r="K122" t="str">
        <f t="shared" si="1"/>
        <v>TS-UD-DOC-CLS-001test_002_clause_creation_minimum_fields</v>
      </c>
    </row>
    <row r="123" spans="1:11" ht="31.2" thickBot="1">
      <c r="A123" s="4" t="s">
        <v>163</v>
      </c>
      <c r="B123" s="4" t="s">
        <v>164</v>
      </c>
      <c r="C123" s="4" t="s">
        <v>169</v>
      </c>
      <c r="D123" s="4"/>
      <c r="E123" s="5"/>
      <c r="F123" s="9" t="s">
        <v>166</v>
      </c>
      <c r="G123" s="7" t="s">
        <v>12</v>
      </c>
      <c r="H123" s="7" t="s">
        <v>13</v>
      </c>
      <c r="J123" t="s">
        <v>15</v>
      </c>
      <c r="K123" t="str">
        <f t="shared" si="1"/>
        <v>TS-UD-DOC-CLS-001test_003_clause_creation_fails_without_content</v>
      </c>
    </row>
    <row r="124" spans="1:11" ht="31.2" thickBot="1">
      <c r="A124" s="4" t="s">
        <v>163</v>
      </c>
      <c r="B124" s="4" t="s">
        <v>164</v>
      </c>
      <c r="C124" s="4" t="s">
        <v>170</v>
      </c>
      <c r="D124" s="4"/>
      <c r="E124" s="5"/>
      <c r="F124" s="9" t="s">
        <v>166</v>
      </c>
      <c r="G124" s="7" t="s">
        <v>12</v>
      </c>
      <c r="H124" s="7" t="s">
        <v>13</v>
      </c>
      <c r="J124" t="s">
        <v>15</v>
      </c>
      <c r="K124" t="str">
        <f t="shared" si="1"/>
        <v>TS-UD-DOC-CLS-001test_004_clause_creation_fails_without_document_id</v>
      </c>
    </row>
    <row r="125" spans="1:11" ht="31.2" thickBot="1">
      <c r="A125" s="4" t="s">
        <v>163</v>
      </c>
      <c r="B125" s="4" t="s">
        <v>164</v>
      </c>
      <c r="C125" s="4" t="s">
        <v>171</v>
      </c>
      <c r="D125" s="4"/>
      <c r="E125" s="5"/>
      <c r="F125" s="9" t="s">
        <v>166</v>
      </c>
      <c r="G125" s="7" t="s">
        <v>12</v>
      </c>
      <c r="H125" s="7" t="s">
        <v>13</v>
      </c>
      <c r="J125" t="s">
        <v>15</v>
      </c>
      <c r="K125" t="str">
        <f t="shared" si="1"/>
        <v>TS-UD-DOC-CLS-001test_005_clause_creation_fails_without_tenant_id</v>
      </c>
    </row>
    <row r="126" spans="1:11" ht="31.2" thickBot="1">
      <c r="A126" s="4" t="s">
        <v>163</v>
      </c>
      <c r="B126" s="4" t="s">
        <v>164</v>
      </c>
      <c r="C126" s="4" t="s">
        <v>172</v>
      </c>
      <c r="D126" s="4"/>
      <c r="E126" s="5"/>
      <c r="F126" s="9" t="s">
        <v>166</v>
      </c>
      <c r="G126" s="7" t="s">
        <v>12</v>
      </c>
      <c r="H126" s="7" t="s">
        <v>13</v>
      </c>
      <c r="J126" t="s">
        <v>15</v>
      </c>
      <c r="K126" t="str">
        <f t="shared" si="1"/>
        <v>TS-UD-DOC-CLS-001test_006_clause_immutability_after_creation</v>
      </c>
    </row>
    <row r="127" spans="1:11" ht="31.2" thickBot="1">
      <c r="A127" s="4" t="s">
        <v>163</v>
      </c>
      <c r="B127" s="4" t="s">
        <v>164</v>
      </c>
      <c r="C127" s="4" t="s">
        <v>173</v>
      </c>
      <c r="D127" s="4"/>
      <c r="E127" s="5"/>
      <c r="F127" s="9" t="s">
        <v>166</v>
      </c>
      <c r="G127" s="7" t="s">
        <v>12</v>
      </c>
      <c r="H127" s="7" t="s">
        <v>13</v>
      </c>
      <c r="J127" t="s">
        <v>15</v>
      </c>
      <c r="K127" t="str">
        <f t="shared" si="1"/>
        <v>TS-UD-DOC-CLS-001test_007_clause_number_format_primera</v>
      </c>
    </row>
    <row r="128" spans="1:11" ht="31.2" thickBot="1">
      <c r="A128" s="4" t="s">
        <v>163</v>
      </c>
      <c r="B128" s="4" t="s">
        <v>164</v>
      </c>
      <c r="C128" s="4" t="s">
        <v>174</v>
      </c>
      <c r="D128" s="4"/>
      <c r="E128" s="5"/>
      <c r="F128" s="9" t="s">
        <v>166</v>
      </c>
      <c r="G128" s="7" t="s">
        <v>12</v>
      </c>
      <c r="H128" s="7" t="s">
        <v>13</v>
      </c>
      <c r="J128" t="s">
        <v>15</v>
      </c>
      <c r="K128" t="str">
        <f t="shared" si="1"/>
        <v>TS-UD-DOC-CLS-001test_008_clause_number_format_numeric</v>
      </c>
    </row>
    <row r="129" spans="1:11" ht="31.2" thickBot="1">
      <c r="A129" s="4" t="s">
        <v>163</v>
      </c>
      <c r="B129" s="4" t="s">
        <v>164</v>
      </c>
      <c r="C129" s="4" t="s">
        <v>175</v>
      </c>
      <c r="D129" s="4"/>
      <c r="E129" s="5"/>
      <c r="F129" s="9" t="s">
        <v>166</v>
      </c>
      <c r="G129" s="7" t="s">
        <v>12</v>
      </c>
      <c r="H129" s="7" t="s">
        <v>13</v>
      </c>
      <c r="J129" t="s">
        <v>15</v>
      </c>
      <c r="K129" t="str">
        <f t="shared" si="1"/>
        <v>TS-UD-DOC-CLS-001test_009_clause_number_format_decimal</v>
      </c>
    </row>
    <row r="130" spans="1:11" ht="31.2" thickBot="1">
      <c r="A130" s="4" t="s">
        <v>163</v>
      </c>
      <c r="B130" s="4" t="s">
        <v>164</v>
      </c>
      <c r="C130" s="4" t="s">
        <v>176</v>
      </c>
      <c r="D130" s="4"/>
      <c r="E130" s="5"/>
      <c r="F130" s="9" t="s">
        <v>166</v>
      </c>
      <c r="G130" s="7" t="s">
        <v>12</v>
      </c>
      <c r="H130" s="7" t="s">
        <v>13</v>
      </c>
      <c r="J130" t="s">
        <v>15</v>
      </c>
      <c r="K130" t="str">
        <f t="shared" si="1"/>
        <v>TS-UD-DOC-CLS-001test_010_clause_number_normalization</v>
      </c>
    </row>
    <row r="131" spans="1:11" ht="31.2" thickBot="1">
      <c r="A131" s="4" t="s">
        <v>163</v>
      </c>
      <c r="B131" s="4" t="s">
        <v>164</v>
      </c>
      <c r="C131" s="4" t="s">
        <v>177</v>
      </c>
      <c r="D131" s="4"/>
      <c r="E131" s="5"/>
      <c r="F131" s="9" t="s">
        <v>166</v>
      </c>
      <c r="G131" s="7" t="s">
        <v>12</v>
      </c>
      <c r="H131" s="7" t="s">
        <v>13</v>
      </c>
      <c r="J131" t="s">
        <v>15</v>
      </c>
      <c r="K131" t="str">
        <f t="shared" si="1"/>
        <v>TS-UD-DOC-CLS-001test_011_clause_content_max_length</v>
      </c>
    </row>
    <row r="132" spans="1:11" ht="31.2" thickBot="1">
      <c r="A132" s="4" t="s">
        <v>163</v>
      </c>
      <c r="B132" s="4" t="s">
        <v>164</v>
      </c>
      <c r="C132" s="4" t="s">
        <v>178</v>
      </c>
      <c r="D132" s="4"/>
      <c r="E132" s="5"/>
      <c r="F132" s="9" t="s">
        <v>166</v>
      </c>
      <c r="G132" s="7" t="s">
        <v>12</v>
      </c>
      <c r="H132" s="7" t="s">
        <v>13</v>
      </c>
      <c r="J132" t="s">
        <v>15</v>
      </c>
      <c r="K132" t="str">
        <f t="shared" si="1"/>
        <v>TS-UD-DOC-CLS-001test_012_clause_content_empty_rejected</v>
      </c>
    </row>
    <row r="133" spans="1:11" ht="31.2" thickBot="1">
      <c r="A133" s="4" t="s">
        <v>163</v>
      </c>
      <c r="B133" s="4" t="s">
        <v>164</v>
      </c>
      <c r="C133" s="4" t="s">
        <v>179</v>
      </c>
      <c r="D133" s="4"/>
      <c r="E133" s="5"/>
      <c r="F133" s="9" t="s">
        <v>166</v>
      </c>
      <c r="G133" s="7" t="s">
        <v>12</v>
      </c>
      <c r="H133" s="7" t="s">
        <v>13</v>
      </c>
      <c r="J133" t="s">
        <v>15</v>
      </c>
      <c r="K133" t="str">
        <f t="shared" si="1"/>
        <v>TS-UD-DOC-CLS-001test_013_clause_document_fk_valid</v>
      </c>
    </row>
    <row r="134" spans="1:11" ht="31.2" thickBot="1">
      <c r="A134" s="4" t="s">
        <v>163</v>
      </c>
      <c r="B134" s="4" t="s">
        <v>164</v>
      </c>
      <c r="C134" s="4" t="s">
        <v>180</v>
      </c>
      <c r="D134" s="4"/>
      <c r="E134" s="5"/>
      <c r="F134" s="9" t="s">
        <v>166</v>
      </c>
      <c r="G134" s="7" t="s">
        <v>12</v>
      </c>
      <c r="H134" s="7" t="s">
        <v>13</v>
      </c>
      <c r="J134" t="s">
        <v>15</v>
      </c>
      <c r="K134" t="str">
        <f t="shared" si="1"/>
        <v>TS-UD-DOC-CLS-001test_014_clause_document_fk_invalid_rejected</v>
      </c>
    </row>
    <row r="135" spans="1:11" ht="31.2" thickBot="1">
      <c r="A135" s="4" t="s">
        <v>163</v>
      </c>
      <c r="B135" s="4" t="s">
        <v>164</v>
      </c>
      <c r="C135" s="4" t="s">
        <v>181</v>
      </c>
      <c r="D135" s="4"/>
      <c r="E135" s="5"/>
      <c r="F135" s="9" t="s">
        <v>166</v>
      </c>
      <c r="G135" s="7" t="s">
        <v>12</v>
      </c>
      <c r="H135" s="7" t="s">
        <v>13</v>
      </c>
      <c r="J135" t="s">
        <v>15</v>
      </c>
      <c r="K135" t="str">
        <f t="shared" si="1"/>
        <v>TS-UD-DOC-CLS-001test_015_clause_tenant_fk_valid</v>
      </c>
    </row>
    <row r="136" spans="1:11" ht="31.2" thickBot="1">
      <c r="A136" s="4" t="s">
        <v>163</v>
      </c>
      <c r="B136" s="4" t="s">
        <v>164</v>
      </c>
      <c r="C136" s="4" t="s">
        <v>182</v>
      </c>
      <c r="D136" s="4"/>
      <c r="E136" s="5"/>
      <c r="F136" s="9" t="s">
        <v>166</v>
      </c>
      <c r="G136" s="7" t="s">
        <v>12</v>
      </c>
      <c r="H136" s="7" t="s">
        <v>13</v>
      </c>
      <c r="J136" t="s">
        <v>15</v>
      </c>
      <c r="K136" t="str">
        <f t="shared" si="1"/>
        <v>TS-UD-DOC-CLS-001test_016_clause_tenant_fk_invalid_rejected</v>
      </c>
    </row>
    <row r="137" spans="1:11" ht="31.2" thickBot="1">
      <c r="A137" s="4" t="s">
        <v>163</v>
      </c>
      <c r="B137" s="4" t="s">
        <v>164</v>
      </c>
      <c r="C137" s="4" t="s">
        <v>183</v>
      </c>
      <c r="D137" s="4"/>
      <c r="E137" s="5"/>
      <c r="F137" s="9" t="s">
        <v>166</v>
      </c>
      <c r="G137" s="7" t="s">
        <v>12</v>
      </c>
      <c r="H137" s="7" t="s">
        <v>13</v>
      </c>
      <c r="J137" t="s">
        <v>15</v>
      </c>
      <c r="K137" t="str">
        <f t="shared" si="1"/>
        <v>TS-UD-DOC-CLS-001test_017_clause_on_delete_restrict_document</v>
      </c>
    </row>
    <row r="138" spans="1:11" ht="31.2" thickBot="1">
      <c r="A138" s="4" t="s">
        <v>163</v>
      </c>
      <c r="B138" s="4" t="s">
        <v>164</v>
      </c>
      <c r="C138" s="4" t="s">
        <v>184</v>
      </c>
      <c r="D138" s="4"/>
      <c r="E138" s="5"/>
      <c r="F138" s="9" t="s">
        <v>166</v>
      </c>
      <c r="G138" s="7" t="s">
        <v>12</v>
      </c>
      <c r="H138" s="7" t="s">
        <v>13</v>
      </c>
      <c r="J138" t="s">
        <v>15</v>
      </c>
      <c r="K138" t="str">
        <f t="shared" si="1"/>
        <v>TS-UD-DOC-CLS-001test_018_clause_on_delete_restrict_tenant</v>
      </c>
    </row>
    <row r="139" spans="1:11" ht="31.2" thickBot="1">
      <c r="A139" s="4" t="s">
        <v>163</v>
      </c>
      <c r="B139" s="4" t="s">
        <v>164</v>
      </c>
      <c r="C139" s="4" t="s">
        <v>185</v>
      </c>
      <c r="D139" s="4"/>
      <c r="E139" s="5"/>
      <c r="F139" s="9" t="s">
        <v>166</v>
      </c>
      <c r="G139" s="7" t="s">
        <v>12</v>
      </c>
      <c r="H139" s="7" t="s">
        <v>13</v>
      </c>
      <c r="J139" t="s">
        <v>15</v>
      </c>
      <c r="K139" t="str">
        <f t="shared" si="1"/>
        <v>TS-UD-DOC-CLS-001test_019_clause_embedding_vector_size</v>
      </c>
    </row>
    <row r="140" spans="1:11" ht="31.2" thickBot="1">
      <c r="A140" s="4" t="s">
        <v>163</v>
      </c>
      <c r="B140" s="4" t="s">
        <v>164</v>
      </c>
      <c r="C140" s="4" t="s">
        <v>186</v>
      </c>
      <c r="D140" s="4"/>
      <c r="E140" s="5"/>
      <c r="F140" s="9" t="s">
        <v>166</v>
      </c>
      <c r="G140" s="7" t="s">
        <v>12</v>
      </c>
      <c r="H140" s="7" t="s">
        <v>13</v>
      </c>
      <c r="J140" t="s">
        <v>15</v>
      </c>
      <c r="K140" t="str">
        <f t="shared" si="1"/>
        <v>TS-UD-DOC-CLS-001test_020_clause_embedding_generation</v>
      </c>
    </row>
    <row r="141" spans="1:11" ht="31.2" thickBot="1">
      <c r="A141" s="4" t="s">
        <v>163</v>
      </c>
      <c r="B141" s="4" t="s">
        <v>164</v>
      </c>
      <c r="C141" s="4" t="s">
        <v>187</v>
      </c>
      <c r="D141" s="4"/>
      <c r="E141" s="5"/>
      <c r="F141" s="9" t="s">
        <v>166</v>
      </c>
      <c r="G141" s="7" t="s">
        <v>12</v>
      </c>
      <c r="H141" s="7" t="s">
        <v>13</v>
      </c>
      <c r="J141" t="s">
        <v>15</v>
      </c>
      <c r="K141" t="str">
        <f t="shared" si="1"/>
        <v>TS-UD-DOC-CLS-001test_021_clause_embedding_null_allowed</v>
      </c>
    </row>
    <row r="142" spans="1:11" ht="31.2" thickBot="1">
      <c r="A142" s="4" t="s">
        <v>163</v>
      </c>
      <c r="B142" s="4" t="s">
        <v>164</v>
      </c>
      <c r="C142" s="4" t="s">
        <v>188</v>
      </c>
      <c r="D142" s="4"/>
      <c r="E142" s="5"/>
      <c r="F142" s="9" t="s">
        <v>166</v>
      </c>
      <c r="G142" s="7" t="s">
        <v>12</v>
      </c>
      <c r="H142" s="7" t="s">
        <v>13</v>
      </c>
      <c r="J142" t="s">
        <v>15</v>
      </c>
      <c r="K142" t="str">
        <f t="shared" si="1"/>
        <v>TS-UD-DOC-CLS-001test_022_clause_embedding_update</v>
      </c>
    </row>
    <row r="143" spans="1:11" ht="16.2" thickBot="1">
      <c r="A143" s="4" t="s">
        <v>189</v>
      </c>
      <c r="B143" s="4" t="s">
        <v>164</v>
      </c>
      <c r="C143" s="4" t="s">
        <v>142</v>
      </c>
      <c r="D143" s="4"/>
      <c r="E143" s="5"/>
      <c r="F143" s="9" t="s">
        <v>190</v>
      </c>
      <c r="G143" s="7" t="s">
        <v>12</v>
      </c>
      <c r="H143" s="7" t="s">
        <v>13</v>
      </c>
      <c r="I143" t="s">
        <v>167</v>
      </c>
      <c r="K143" t="str">
        <f t="shared" si="1"/>
        <v>TS-UD-DOC-CLS-002Tests not individually listed</v>
      </c>
    </row>
    <row r="144" spans="1:11" ht="16.2" thickBot="1">
      <c r="A144" s="4" t="s">
        <v>191</v>
      </c>
      <c r="B144" s="4" t="s">
        <v>164</v>
      </c>
      <c r="C144" s="4" t="s">
        <v>142</v>
      </c>
      <c r="D144" s="4"/>
      <c r="E144" s="5"/>
      <c r="F144" s="9" t="s">
        <v>190</v>
      </c>
      <c r="G144" s="7" t="s">
        <v>12</v>
      </c>
      <c r="H144" s="7" t="s">
        <v>13</v>
      </c>
      <c r="K144" t="str">
        <f t="shared" si="1"/>
        <v>TS-UD-DOC-CLS-003Tests not individually listed</v>
      </c>
    </row>
    <row r="145" spans="1:11" ht="31.2" thickBot="1">
      <c r="A145" s="4" t="s">
        <v>192</v>
      </c>
      <c r="B145" s="4" t="s">
        <v>164</v>
      </c>
      <c r="C145" s="4" t="s">
        <v>193</v>
      </c>
      <c r="D145" s="4"/>
      <c r="E145" s="5"/>
      <c r="F145" s="9" t="s">
        <v>190</v>
      </c>
      <c r="G145" s="7" t="s">
        <v>12</v>
      </c>
      <c r="H145" s="7" t="s">
        <v>13</v>
      </c>
      <c r="J145" t="s">
        <v>15</v>
      </c>
      <c r="K145" t="str">
        <f t="shared" si="1"/>
        <v>TS-UD-DOC-ENT-001test_001_date_dd_mm_yyyy_slash</v>
      </c>
    </row>
    <row r="146" spans="1:11" ht="31.2" thickBot="1">
      <c r="A146" s="4" t="s">
        <v>192</v>
      </c>
      <c r="B146" s="4" t="s">
        <v>164</v>
      </c>
      <c r="C146" s="4" t="s">
        <v>194</v>
      </c>
      <c r="D146" s="4"/>
      <c r="E146" s="5"/>
      <c r="F146" s="9" t="s">
        <v>190</v>
      </c>
      <c r="G146" s="7" t="s">
        <v>12</v>
      </c>
      <c r="H146" s="7" t="s">
        <v>13</v>
      </c>
      <c r="J146" t="s">
        <v>15</v>
      </c>
      <c r="K146" t="str">
        <f t="shared" si="1"/>
        <v>TS-UD-DOC-ENT-001test_002_date_yyyy_mm_dd_dash</v>
      </c>
    </row>
    <row r="147" spans="1:11" ht="31.2" thickBot="1">
      <c r="A147" s="4" t="s">
        <v>192</v>
      </c>
      <c r="B147" s="4" t="s">
        <v>164</v>
      </c>
      <c r="C147" s="4" t="s">
        <v>195</v>
      </c>
      <c r="D147" s="4"/>
      <c r="E147" s="5"/>
      <c r="F147" s="9" t="s">
        <v>190</v>
      </c>
      <c r="G147" s="7" t="s">
        <v>12</v>
      </c>
      <c r="H147" s="7" t="s">
        <v>13</v>
      </c>
      <c r="J147" t="s">
        <v>15</v>
      </c>
      <c r="K147" t="str">
        <f t="shared" si="1"/>
        <v>TS-UD-DOC-ENT-001test_003_date_dd_month_yyyy_spanish</v>
      </c>
    </row>
    <row r="148" spans="1:11" ht="31.2" thickBot="1">
      <c r="A148" s="4" t="s">
        <v>192</v>
      </c>
      <c r="B148" s="4" t="s">
        <v>164</v>
      </c>
      <c r="C148" s="4" t="s">
        <v>196</v>
      </c>
      <c r="D148" s="4"/>
      <c r="E148" s="5"/>
      <c r="F148" s="9" t="s">
        <v>190</v>
      </c>
      <c r="G148" s="7" t="s">
        <v>12</v>
      </c>
      <c r="H148" s="7" t="s">
        <v>13</v>
      </c>
      <c r="J148" t="s">
        <v>15</v>
      </c>
      <c r="K148" t="str">
        <f t="shared" si="1"/>
        <v>TS-UD-DOC-ENT-001test_004_date_month_dd_yyyy_english</v>
      </c>
    </row>
    <row r="149" spans="1:11" ht="31.2" thickBot="1">
      <c r="A149" s="4" t="s">
        <v>192</v>
      </c>
      <c r="B149" s="4" t="s">
        <v>164</v>
      </c>
      <c r="C149" s="4" t="s">
        <v>197</v>
      </c>
      <c r="D149" s="4"/>
      <c r="E149" s="5"/>
      <c r="F149" s="9" t="s">
        <v>190</v>
      </c>
      <c r="G149" s="7" t="s">
        <v>12</v>
      </c>
      <c r="H149" s="7" t="s">
        <v>13</v>
      </c>
      <c r="J149" t="s">
        <v>15</v>
      </c>
      <c r="K149" t="str">
        <f t="shared" si="1"/>
        <v>TS-UD-DOC-ENT-001test_005_date_relative_30_days</v>
      </c>
    </row>
    <row r="150" spans="1:11" ht="31.2" thickBot="1">
      <c r="A150" s="4" t="s">
        <v>192</v>
      </c>
      <c r="B150" s="4" t="s">
        <v>164</v>
      </c>
      <c r="C150" s="4" t="s">
        <v>198</v>
      </c>
      <c r="D150" s="4"/>
      <c r="E150" s="5"/>
      <c r="F150" s="9" t="s">
        <v>190</v>
      </c>
      <c r="G150" s="7" t="s">
        <v>12</v>
      </c>
      <c r="H150" s="7" t="s">
        <v>13</v>
      </c>
      <c r="J150" t="s">
        <v>15</v>
      </c>
      <c r="K150" t="str">
        <f t="shared" si="1"/>
        <v>TS-UD-DOC-ENT-001test_006_date_relative_3_months</v>
      </c>
    </row>
    <row r="151" spans="1:11" ht="31.2" thickBot="1">
      <c r="A151" s="4" t="s">
        <v>192</v>
      </c>
      <c r="B151" s="4" t="s">
        <v>164</v>
      </c>
      <c r="C151" s="4" t="s">
        <v>199</v>
      </c>
      <c r="D151" s="4"/>
      <c r="E151" s="5"/>
      <c r="F151" s="9" t="s">
        <v>190</v>
      </c>
      <c r="G151" s="7" t="s">
        <v>12</v>
      </c>
      <c r="H151" s="7" t="s">
        <v>13</v>
      </c>
      <c r="J151" t="s">
        <v>15</v>
      </c>
      <c r="K151" t="str">
        <f t="shared" si="1"/>
        <v>TS-UD-DOC-ENT-001test_007_date_relative_1_year</v>
      </c>
    </row>
    <row r="152" spans="1:11" ht="31.2" thickBot="1">
      <c r="A152" s="4" t="s">
        <v>192</v>
      </c>
      <c r="B152" s="4" t="s">
        <v>164</v>
      </c>
      <c r="C152" s="4" t="s">
        <v>200</v>
      </c>
      <c r="D152" s="4"/>
      <c r="E152" s="5"/>
      <c r="F152" s="9" t="s">
        <v>190</v>
      </c>
      <c r="G152" s="7" t="s">
        <v>12</v>
      </c>
      <c r="H152" s="7" t="s">
        <v>13</v>
      </c>
      <c r="J152" t="s">
        <v>15</v>
      </c>
      <c r="K152" t="str">
        <f t="shared" si="1"/>
        <v>TS-UD-DOC-ENT-001test_008_date_relative_from_date</v>
      </c>
    </row>
    <row r="153" spans="1:11" ht="31.2" thickBot="1">
      <c r="A153" s="4" t="s">
        <v>192</v>
      </c>
      <c r="B153" s="4" t="s">
        <v>164</v>
      </c>
      <c r="C153" s="4" t="s">
        <v>201</v>
      </c>
      <c r="D153" s="4"/>
      <c r="E153" s="5"/>
      <c r="F153" s="9" t="s">
        <v>190</v>
      </c>
      <c r="G153" s="7" t="s">
        <v>12</v>
      </c>
      <c r="H153" s="7" t="s">
        <v>13</v>
      </c>
      <c r="J153" t="s">
        <v>15</v>
      </c>
      <c r="K153" t="str">
        <f t="shared" ref="K153:K216" si="2">CONCATENATE(A153,C153)</f>
        <v>TS-UD-DOC-ENT-001test_009_date_context_entrega</v>
      </c>
    </row>
    <row r="154" spans="1:11" ht="31.2" thickBot="1">
      <c r="A154" s="4" t="s">
        <v>192</v>
      </c>
      <c r="B154" s="4" t="s">
        <v>164</v>
      </c>
      <c r="C154" s="4" t="s">
        <v>202</v>
      </c>
      <c r="D154" s="4"/>
      <c r="E154" s="5"/>
      <c r="F154" s="9" t="s">
        <v>190</v>
      </c>
      <c r="G154" s="7" t="s">
        <v>12</v>
      </c>
      <c r="H154" s="7" t="s">
        <v>13</v>
      </c>
      <c r="J154" t="s">
        <v>15</v>
      </c>
      <c r="K154" t="str">
        <f t="shared" si="2"/>
        <v>TS-UD-DOC-ENT-001test_010_date_context_firma</v>
      </c>
    </row>
    <row r="155" spans="1:11" ht="31.2" thickBot="1">
      <c r="A155" s="4" t="s">
        <v>192</v>
      </c>
      <c r="B155" s="4" t="s">
        <v>164</v>
      </c>
      <c r="C155" s="4" t="s">
        <v>203</v>
      </c>
      <c r="D155" s="4"/>
      <c r="E155" s="5"/>
      <c r="F155" s="9" t="s">
        <v>190</v>
      </c>
      <c r="G155" s="7" t="s">
        <v>12</v>
      </c>
      <c r="H155" s="7" t="s">
        <v>13</v>
      </c>
      <c r="J155" t="s">
        <v>15</v>
      </c>
      <c r="K155" t="str">
        <f t="shared" si="2"/>
        <v>TS-UD-DOC-ENT-001test_011_date_context_inicio</v>
      </c>
    </row>
    <row r="156" spans="1:11" ht="16.2" thickBot="1">
      <c r="A156" s="4" t="s">
        <v>192</v>
      </c>
      <c r="B156" s="4" t="s">
        <v>164</v>
      </c>
      <c r="C156" s="4" t="s">
        <v>204</v>
      </c>
      <c r="D156" s="4"/>
      <c r="E156" s="5"/>
      <c r="F156" s="9" t="s">
        <v>190</v>
      </c>
      <c r="G156" s="7" t="s">
        <v>12</v>
      </c>
      <c r="H156" s="7" t="s">
        <v>13</v>
      </c>
      <c r="J156" t="s">
        <v>15</v>
      </c>
      <c r="K156" t="str">
        <f t="shared" si="2"/>
        <v>TS-UD-DOC-ENT-001test_012_date_context_fin</v>
      </c>
    </row>
    <row r="157" spans="1:11" ht="31.2" thickBot="1">
      <c r="A157" s="4" t="s">
        <v>192</v>
      </c>
      <c r="B157" s="4" t="s">
        <v>164</v>
      </c>
      <c r="C157" s="4" t="s">
        <v>205</v>
      </c>
      <c r="D157" s="4"/>
      <c r="E157" s="5"/>
      <c r="F157" s="9" t="s">
        <v>190</v>
      </c>
      <c r="G157" s="7" t="s">
        <v>12</v>
      </c>
      <c r="H157" s="7" t="s">
        <v>13</v>
      </c>
      <c r="J157" t="s">
        <v>15</v>
      </c>
      <c r="K157" t="str">
        <f t="shared" si="2"/>
        <v>TS-UD-DOC-ENT-001test_013_multiple_dates_extraction</v>
      </c>
    </row>
    <row r="158" spans="1:11" ht="31.2" thickBot="1">
      <c r="A158" s="4" t="s">
        <v>192</v>
      </c>
      <c r="B158" s="4" t="s">
        <v>164</v>
      </c>
      <c r="C158" s="4" t="s">
        <v>206</v>
      </c>
      <c r="D158" s="4"/>
      <c r="E158" s="5"/>
      <c r="F158" s="9" t="s">
        <v>190</v>
      </c>
      <c r="G158" s="7" t="s">
        <v>12</v>
      </c>
      <c r="H158" s="7" t="s">
        <v>13</v>
      </c>
      <c r="J158" t="s">
        <v>15</v>
      </c>
      <c r="K158" t="str">
        <f t="shared" si="2"/>
        <v>TS-UD-DOC-ENT-001test_014_multiple_dates_ordering</v>
      </c>
    </row>
    <row r="159" spans="1:11" ht="31.2" thickBot="1">
      <c r="A159" s="4" t="s">
        <v>192</v>
      </c>
      <c r="B159" s="4" t="s">
        <v>164</v>
      </c>
      <c r="C159" s="4" t="s">
        <v>207</v>
      </c>
      <c r="D159" s="4"/>
      <c r="E159" s="5"/>
      <c r="F159" s="9" t="s">
        <v>190</v>
      </c>
      <c r="G159" s="7" t="s">
        <v>12</v>
      </c>
      <c r="H159" s="7" t="s">
        <v>13</v>
      </c>
      <c r="J159" t="s">
        <v>15</v>
      </c>
      <c r="K159" t="str">
        <f t="shared" si="2"/>
        <v>TS-UD-DOC-ENT-001test_015_date_range_extraction</v>
      </c>
    </row>
    <row r="160" spans="1:11" ht="31.2" thickBot="1">
      <c r="A160" s="4" t="s">
        <v>192</v>
      </c>
      <c r="B160" s="4" t="s">
        <v>164</v>
      </c>
      <c r="C160" s="4" t="s">
        <v>208</v>
      </c>
      <c r="D160" s="4"/>
      <c r="E160" s="5"/>
      <c r="F160" s="9" t="s">
        <v>209</v>
      </c>
      <c r="G160" s="7" t="s">
        <v>12</v>
      </c>
      <c r="H160" s="7" t="s">
        <v>13</v>
      </c>
      <c r="J160" t="s">
        <v>15</v>
      </c>
      <c r="K160" t="str">
        <f t="shared" si="2"/>
        <v>TS-UD-DOC-ENT-001test_016_date_invalid_format_ignored</v>
      </c>
    </row>
    <row r="161" spans="1:11" ht="31.2" thickBot="1">
      <c r="A161" s="4" t="s">
        <v>210</v>
      </c>
      <c r="B161" s="4" t="s">
        <v>164</v>
      </c>
      <c r="C161" s="4" t="s">
        <v>211</v>
      </c>
      <c r="D161" s="4"/>
      <c r="E161" s="5"/>
      <c r="F161" s="9" t="s">
        <v>209</v>
      </c>
      <c r="G161" s="7" t="s">
        <v>12</v>
      </c>
      <c r="H161" s="7" t="s">
        <v>13</v>
      </c>
      <c r="J161" t="s">
        <v>15</v>
      </c>
      <c r="K161" t="str">
        <f t="shared" si="2"/>
        <v>TS-UD-DOC-ENT-002test_001_money_eur_symbol_suffix</v>
      </c>
    </row>
    <row r="162" spans="1:11" ht="31.2" thickBot="1">
      <c r="A162" s="4" t="s">
        <v>210</v>
      </c>
      <c r="B162" s="4" t="s">
        <v>164</v>
      </c>
      <c r="C162" s="4" t="s">
        <v>212</v>
      </c>
      <c r="D162" s="4"/>
      <c r="E162" s="5"/>
      <c r="F162" s="9" t="s">
        <v>209</v>
      </c>
      <c r="G162" s="7" t="s">
        <v>12</v>
      </c>
      <c r="H162" s="7" t="s">
        <v>13</v>
      </c>
      <c r="J162" t="s">
        <v>15</v>
      </c>
      <c r="K162" t="str">
        <f t="shared" si="2"/>
        <v>TS-UD-DOC-ENT-002test_002_money_eur_symbol_prefix</v>
      </c>
    </row>
    <row r="163" spans="1:11" ht="31.2" thickBot="1">
      <c r="A163" s="4" t="s">
        <v>210</v>
      </c>
      <c r="B163" s="4" t="s">
        <v>164</v>
      </c>
      <c r="C163" s="4" t="s">
        <v>213</v>
      </c>
      <c r="D163" s="4"/>
      <c r="E163" s="5"/>
      <c r="F163" s="9" t="s">
        <v>209</v>
      </c>
      <c r="G163" s="7" t="s">
        <v>12</v>
      </c>
      <c r="H163" s="7" t="s">
        <v>13</v>
      </c>
      <c r="J163" t="s">
        <v>15</v>
      </c>
      <c r="K163" t="str">
        <f t="shared" si="2"/>
        <v>TS-UD-DOC-ENT-002test_003_money_eur_word_euros</v>
      </c>
    </row>
    <row r="164" spans="1:11" ht="31.2" thickBot="1">
      <c r="A164" s="4" t="s">
        <v>210</v>
      </c>
      <c r="B164" s="4" t="s">
        <v>164</v>
      </c>
      <c r="C164" s="4" t="s">
        <v>214</v>
      </c>
      <c r="D164" s="4"/>
      <c r="E164" s="5"/>
      <c r="F164" s="9" t="s">
        <v>209</v>
      </c>
      <c r="G164" s="7" t="s">
        <v>12</v>
      </c>
      <c r="H164" s="7" t="s">
        <v>13</v>
      </c>
      <c r="J164" t="s">
        <v>15</v>
      </c>
      <c r="K164" t="str">
        <f t="shared" si="2"/>
        <v>TS-UD-DOC-ENT-002test_004_money_eur_thousands_separator</v>
      </c>
    </row>
    <row r="165" spans="1:11" ht="31.2" thickBot="1">
      <c r="A165" s="4" t="s">
        <v>210</v>
      </c>
      <c r="B165" s="4" t="s">
        <v>164</v>
      </c>
      <c r="C165" s="4" t="s">
        <v>215</v>
      </c>
      <c r="D165" s="4"/>
      <c r="E165" s="5"/>
      <c r="F165" s="9" t="s">
        <v>209</v>
      </c>
      <c r="G165" s="7" t="s">
        <v>12</v>
      </c>
      <c r="H165" s="7" t="s">
        <v>13</v>
      </c>
      <c r="J165" t="s">
        <v>15</v>
      </c>
      <c r="K165" t="str">
        <f t="shared" si="2"/>
        <v>TS-UD-DOC-ENT-002test_005_money_usd_symbol</v>
      </c>
    </row>
    <row r="166" spans="1:11" ht="16.2" thickBot="1">
      <c r="A166" s="4" t="s">
        <v>210</v>
      </c>
      <c r="B166" s="4" t="s">
        <v>164</v>
      </c>
      <c r="C166" s="4" t="s">
        <v>216</v>
      </c>
      <c r="D166" s="4"/>
      <c r="E166" s="5"/>
      <c r="F166" s="9" t="s">
        <v>209</v>
      </c>
      <c r="G166" s="7" t="s">
        <v>12</v>
      </c>
      <c r="H166" s="7" t="s">
        <v>13</v>
      </c>
      <c r="J166" t="s">
        <v>15</v>
      </c>
      <c r="K166" t="str">
        <f t="shared" si="2"/>
        <v>TS-UD-DOC-ENT-002test_006_money_usd_word</v>
      </c>
    </row>
    <row r="167" spans="1:11" ht="31.2" thickBot="1">
      <c r="A167" s="4" t="s">
        <v>210</v>
      </c>
      <c r="B167" s="4" t="s">
        <v>164</v>
      </c>
      <c r="C167" s="4" t="s">
        <v>217</v>
      </c>
      <c r="D167" s="4"/>
      <c r="E167" s="5"/>
      <c r="F167" s="9" t="s">
        <v>209</v>
      </c>
      <c r="G167" s="7" t="s">
        <v>12</v>
      </c>
      <c r="H167" s="7" t="s">
        <v>13</v>
      </c>
      <c r="J167" t="s">
        <v>15</v>
      </c>
      <c r="K167" t="str">
        <f t="shared" si="2"/>
        <v>TS-UD-DOC-ENT-002test_007_money_usd_thousands_separator</v>
      </c>
    </row>
    <row r="168" spans="1:11" ht="31.2" thickBot="1">
      <c r="A168" s="4" t="s">
        <v>210</v>
      </c>
      <c r="B168" s="4" t="s">
        <v>164</v>
      </c>
      <c r="C168" s="4" t="s">
        <v>218</v>
      </c>
      <c r="D168" s="4"/>
      <c r="E168" s="5"/>
      <c r="F168" s="9" t="s">
        <v>209</v>
      </c>
      <c r="G168" s="7" t="s">
        <v>12</v>
      </c>
      <c r="H168" s="7" t="s">
        <v>13</v>
      </c>
      <c r="J168" t="s">
        <v>15</v>
      </c>
      <c r="K168" t="str">
        <f t="shared" si="2"/>
        <v>TS-UD-DOC-ENT-002test_008_money_context_anticipo</v>
      </c>
    </row>
    <row r="169" spans="1:11" ht="31.2" thickBot="1">
      <c r="A169" s="4" t="s">
        <v>210</v>
      </c>
      <c r="B169" s="4" t="s">
        <v>164</v>
      </c>
      <c r="C169" s="4" t="s">
        <v>219</v>
      </c>
      <c r="D169" s="4"/>
      <c r="E169" s="5"/>
      <c r="F169" s="9" t="s">
        <v>209</v>
      </c>
      <c r="G169" s="7" t="s">
        <v>12</v>
      </c>
      <c r="H169" s="7" t="s">
        <v>13</v>
      </c>
      <c r="J169" t="s">
        <v>15</v>
      </c>
      <c r="K169" t="str">
        <f t="shared" si="2"/>
        <v>TS-UD-DOC-ENT-002test_009_money_context_pago_final</v>
      </c>
    </row>
    <row r="170" spans="1:11" ht="31.2" thickBot="1">
      <c r="A170" s="4" t="s">
        <v>210</v>
      </c>
      <c r="B170" s="4" t="s">
        <v>164</v>
      </c>
      <c r="C170" s="4" t="s">
        <v>220</v>
      </c>
      <c r="D170" s="4"/>
      <c r="E170" s="5"/>
      <c r="F170" s="9" t="s">
        <v>209</v>
      </c>
      <c r="G170" s="7" t="s">
        <v>12</v>
      </c>
      <c r="H170" s="7" t="s">
        <v>13</v>
      </c>
      <c r="J170" t="s">
        <v>15</v>
      </c>
      <c r="K170" t="str">
        <f t="shared" si="2"/>
        <v>TS-UD-DOC-ENT-002test_010_money_context_penalizacion</v>
      </c>
    </row>
    <row r="171" spans="1:11" ht="31.2" thickBot="1">
      <c r="A171" s="4" t="s">
        <v>210</v>
      </c>
      <c r="B171" s="4" t="s">
        <v>164</v>
      </c>
      <c r="C171" s="4" t="s">
        <v>221</v>
      </c>
      <c r="D171" s="4"/>
      <c r="E171" s="5"/>
      <c r="F171" s="9" t="s">
        <v>209</v>
      </c>
      <c r="G171" s="7" t="s">
        <v>12</v>
      </c>
      <c r="H171" s="7" t="s">
        <v>13</v>
      </c>
      <c r="J171" t="s">
        <v>15</v>
      </c>
      <c r="K171" t="str">
        <f t="shared" si="2"/>
        <v>TS-UD-DOC-ENT-002test_011_money_context_total</v>
      </c>
    </row>
    <row r="172" spans="1:11" ht="31.2" thickBot="1">
      <c r="A172" s="4" t="s">
        <v>210</v>
      </c>
      <c r="B172" s="4" t="s">
        <v>164</v>
      </c>
      <c r="C172" s="4" t="s">
        <v>222</v>
      </c>
      <c r="D172" s="4"/>
      <c r="E172" s="5"/>
      <c r="F172" s="9" t="s">
        <v>209</v>
      </c>
      <c r="G172" s="7" t="s">
        <v>12</v>
      </c>
      <c r="H172" s="7" t="s">
        <v>13</v>
      </c>
      <c r="J172" t="s">
        <v>15</v>
      </c>
      <c r="K172" t="str">
        <f t="shared" si="2"/>
        <v>TS-UD-DOC-ENT-002test_012_multiple_amounts_extraction</v>
      </c>
    </row>
    <row r="173" spans="1:11" ht="31.2" thickBot="1">
      <c r="A173" s="4" t="s">
        <v>210</v>
      </c>
      <c r="B173" s="4" t="s">
        <v>164</v>
      </c>
      <c r="C173" s="4" t="s">
        <v>223</v>
      </c>
      <c r="D173" s="4"/>
      <c r="E173" s="5"/>
      <c r="F173" s="9" t="s">
        <v>209</v>
      </c>
      <c r="G173" s="7" t="s">
        <v>12</v>
      </c>
      <c r="H173" s="7" t="s">
        <v>13</v>
      </c>
      <c r="J173" t="s">
        <v>15</v>
      </c>
      <c r="K173" t="str">
        <f t="shared" si="2"/>
        <v>TS-UD-DOC-ENT-002test_013_money_percentage_extraction</v>
      </c>
    </row>
    <row r="174" spans="1:11" ht="31.2" thickBot="1">
      <c r="A174" s="4" t="s">
        <v>210</v>
      </c>
      <c r="B174" s="4" t="s">
        <v>164</v>
      </c>
      <c r="C174" s="4" t="s">
        <v>224</v>
      </c>
      <c r="D174" s="4"/>
      <c r="E174" s="5"/>
      <c r="F174" s="9" t="s">
        <v>209</v>
      </c>
      <c r="G174" s="7" t="s">
        <v>12</v>
      </c>
      <c r="H174" s="7" t="s">
        <v>13</v>
      </c>
      <c r="J174" t="s">
        <v>15</v>
      </c>
      <c r="K174" t="str">
        <f t="shared" si="2"/>
        <v>TS-UD-DOC-ENT-002test_014_money_negative_amount</v>
      </c>
    </row>
    <row r="175" spans="1:11" ht="16.2" thickBot="1">
      <c r="A175" s="4" t="s">
        <v>225</v>
      </c>
      <c r="B175" s="4" t="s">
        <v>164</v>
      </c>
      <c r="C175" s="4" t="s">
        <v>142</v>
      </c>
      <c r="D175" s="4"/>
      <c r="E175" s="5"/>
      <c r="F175" s="2"/>
      <c r="J175" t="s">
        <v>15</v>
      </c>
      <c r="K175" t="str">
        <f t="shared" si="2"/>
        <v>TS-UD-DOC-ENT-003Tests not individually listed</v>
      </c>
    </row>
    <row r="176" spans="1:11" ht="16.2" thickBot="1">
      <c r="A176" s="4" t="s">
        <v>226</v>
      </c>
      <c r="B176" s="4" t="s">
        <v>164</v>
      </c>
      <c r="C176" s="4" t="s">
        <v>142</v>
      </c>
      <c r="D176" s="4"/>
      <c r="E176" s="5"/>
      <c r="F176" s="2"/>
      <c r="J176" t="s">
        <v>15</v>
      </c>
      <c r="K176" t="str">
        <f t="shared" si="2"/>
        <v>TS-UD-DOC-ENT-004Tests not individually listed</v>
      </c>
    </row>
    <row r="177" spans="1:11" ht="16.2" thickBot="1">
      <c r="A177" s="4" t="s">
        <v>227</v>
      </c>
      <c r="B177" s="4" t="s">
        <v>164</v>
      </c>
      <c r="C177" s="4" t="s">
        <v>142</v>
      </c>
      <c r="D177" s="4"/>
      <c r="E177" s="5"/>
      <c r="F177" s="2"/>
      <c r="J177" t="s">
        <v>15</v>
      </c>
      <c r="K177" t="str">
        <f t="shared" si="2"/>
        <v>TS-UD-DOC-DOC-001Tests not individually listed</v>
      </c>
    </row>
    <row r="178" spans="1:11" ht="16.2" thickBot="1">
      <c r="A178" s="4" t="s">
        <v>228</v>
      </c>
      <c r="B178" s="4" t="s">
        <v>164</v>
      </c>
      <c r="C178" s="4" t="s">
        <v>142</v>
      </c>
      <c r="D178" s="4"/>
      <c r="E178" s="5"/>
      <c r="F178" s="2"/>
      <c r="J178" t="s">
        <v>15</v>
      </c>
      <c r="K178" t="str">
        <f t="shared" si="2"/>
        <v>TS-UD-DOC-CNF-001Tests not individually listed</v>
      </c>
    </row>
    <row r="179" spans="1:11" ht="31.2" thickBot="1">
      <c r="A179" s="4" t="s">
        <v>229</v>
      </c>
      <c r="B179" s="4" t="s">
        <v>230</v>
      </c>
      <c r="C179" s="4" t="s">
        <v>142</v>
      </c>
      <c r="D179" s="4"/>
      <c r="E179" s="5"/>
      <c r="F179" s="2"/>
      <c r="J179" t="s">
        <v>15</v>
      </c>
      <c r="K179" t="str">
        <f t="shared" si="2"/>
        <v>TS-UD-COH-CAT-001Tests not individually listed</v>
      </c>
    </row>
    <row r="180" spans="1:11" ht="31.2" thickBot="1">
      <c r="A180" s="4" t="s">
        <v>231</v>
      </c>
      <c r="B180" s="4" t="s">
        <v>230</v>
      </c>
      <c r="C180" s="4" t="s">
        <v>232</v>
      </c>
      <c r="D180" s="4"/>
      <c r="E180" s="5"/>
      <c r="F180" s="9" t="s">
        <v>233</v>
      </c>
      <c r="G180" s="7" t="s">
        <v>12</v>
      </c>
      <c r="H180" s="7" t="s">
        <v>13</v>
      </c>
      <c r="I180" t="s">
        <v>234</v>
      </c>
      <c r="J180" t="s">
        <v>15</v>
      </c>
      <c r="K180" t="str">
        <f t="shared" si="2"/>
        <v>TS-UD-COH-RUL-001test_001_r11_wbs_level4_no_activities_alert</v>
      </c>
    </row>
    <row r="181" spans="1:11" ht="31.2" thickBot="1">
      <c r="A181" s="4" t="s">
        <v>231</v>
      </c>
      <c r="B181" s="4" t="s">
        <v>230</v>
      </c>
      <c r="C181" s="4" t="s">
        <v>235</v>
      </c>
      <c r="D181" s="4"/>
      <c r="E181" s="5"/>
      <c r="F181" s="9" t="s">
        <v>233</v>
      </c>
      <c r="G181" s="7" t="s">
        <v>12</v>
      </c>
      <c r="H181" s="7" t="s">
        <v>13</v>
      </c>
      <c r="J181" t="s">
        <v>15</v>
      </c>
      <c r="K181" t="str">
        <f t="shared" si="2"/>
        <v>TS-UD-COH-RUL-001test_002_r11_wbs_level4_with_activities_pass</v>
      </c>
    </row>
    <row r="182" spans="1:11" ht="31.2" thickBot="1">
      <c r="A182" s="4" t="s">
        <v>231</v>
      </c>
      <c r="B182" s="4" t="s">
        <v>230</v>
      </c>
      <c r="C182" s="4" t="s">
        <v>236</v>
      </c>
      <c r="D182" s="4"/>
      <c r="E182" s="5"/>
      <c r="F182" s="9" t="s">
        <v>233</v>
      </c>
      <c r="G182" s="7" t="s">
        <v>12</v>
      </c>
      <c r="H182" s="7" t="s">
        <v>13</v>
      </c>
      <c r="J182" t="s">
        <v>15</v>
      </c>
      <c r="K182" t="str">
        <f t="shared" si="2"/>
        <v>TS-UD-COH-RUL-001test_003_r11_wbs_level3_no_activities_ignored</v>
      </c>
    </row>
    <row r="183" spans="1:11" ht="31.2" thickBot="1">
      <c r="A183" s="4" t="s">
        <v>231</v>
      </c>
      <c r="B183" s="4" t="s">
        <v>230</v>
      </c>
      <c r="C183" s="4" t="s">
        <v>237</v>
      </c>
      <c r="D183" s="4"/>
      <c r="E183" s="5"/>
      <c r="F183" s="9" t="s">
        <v>233</v>
      </c>
      <c r="G183" s="7" t="s">
        <v>12</v>
      </c>
      <c r="H183" s="7" t="s">
        <v>13</v>
      </c>
      <c r="J183" t="s">
        <v>15</v>
      </c>
      <c r="K183" t="str">
        <f t="shared" si="2"/>
        <v>TS-UD-COH-RUL-001test_004_r11_wbs_level2_no_activities_ignored</v>
      </c>
    </row>
    <row r="184" spans="1:11" ht="31.2" thickBot="1">
      <c r="A184" s="4" t="s">
        <v>231</v>
      </c>
      <c r="B184" s="4" t="s">
        <v>230</v>
      </c>
      <c r="C184" s="4" t="s">
        <v>238</v>
      </c>
      <c r="D184" s="4"/>
      <c r="E184" s="5"/>
      <c r="F184" s="9" t="s">
        <v>233</v>
      </c>
      <c r="G184" s="7" t="s">
        <v>12</v>
      </c>
      <c r="H184" s="7" t="s">
        <v>13</v>
      </c>
      <c r="J184" t="s">
        <v>15</v>
      </c>
      <c r="K184" t="str">
        <f t="shared" si="2"/>
        <v>TS-UD-COH-RUL-001test_005_r11_multiple_wbs_level4_violations</v>
      </c>
    </row>
    <row r="185" spans="1:11" ht="31.2" thickBot="1">
      <c r="A185" s="4" t="s">
        <v>231</v>
      </c>
      <c r="B185" s="4" t="s">
        <v>230</v>
      </c>
      <c r="C185" s="4" t="s">
        <v>239</v>
      </c>
      <c r="D185" s="4"/>
      <c r="E185" s="5"/>
      <c r="F185" s="9" t="s">
        <v>233</v>
      </c>
      <c r="G185" s="7" t="s">
        <v>12</v>
      </c>
      <c r="H185" s="7" t="s">
        <v>13</v>
      </c>
      <c r="J185" t="s">
        <v>15</v>
      </c>
      <c r="K185" t="str">
        <f t="shared" si="2"/>
        <v>TS-UD-COH-RUL-001test_006_r11_alert_severity_medium</v>
      </c>
    </row>
    <row r="186" spans="1:11" ht="31.2" thickBot="1">
      <c r="A186" s="4" t="s">
        <v>231</v>
      </c>
      <c r="B186" s="4" t="s">
        <v>230</v>
      </c>
      <c r="C186" s="4" t="s">
        <v>240</v>
      </c>
      <c r="D186" s="4"/>
      <c r="E186" s="5"/>
      <c r="F186" s="9" t="s">
        <v>233</v>
      </c>
      <c r="G186" s="7" t="s">
        <v>12</v>
      </c>
      <c r="H186" s="7" t="s">
        <v>13</v>
      </c>
      <c r="J186" t="s">
        <v>15</v>
      </c>
      <c r="K186" t="str">
        <f t="shared" si="2"/>
        <v>TS-UD-COH-RUL-001test_007_r12_wbs_no_budget_line_alert</v>
      </c>
    </row>
    <row r="187" spans="1:11" ht="31.2" thickBot="1">
      <c r="A187" s="4" t="s">
        <v>231</v>
      </c>
      <c r="B187" s="4" t="s">
        <v>230</v>
      </c>
      <c r="C187" s="4" t="s">
        <v>241</v>
      </c>
      <c r="D187" s="4"/>
      <c r="E187" s="5"/>
      <c r="F187" s="9" t="s">
        <v>233</v>
      </c>
      <c r="G187" s="7" t="s">
        <v>12</v>
      </c>
      <c r="H187" s="7" t="s">
        <v>13</v>
      </c>
      <c r="J187" t="s">
        <v>15</v>
      </c>
      <c r="K187" t="str">
        <f t="shared" si="2"/>
        <v>TS-UD-COH-RUL-001test_008_r12_wbs_with_budget_line_pass</v>
      </c>
    </row>
    <row r="188" spans="1:11" ht="31.2" thickBot="1">
      <c r="A188" s="4" t="s">
        <v>231</v>
      </c>
      <c r="B188" s="4" t="s">
        <v>230</v>
      </c>
      <c r="C188" s="4" t="s">
        <v>242</v>
      </c>
      <c r="D188" s="4"/>
      <c r="E188" s="5"/>
      <c r="F188" s="9" t="s">
        <v>233</v>
      </c>
      <c r="G188" s="7" t="s">
        <v>12</v>
      </c>
      <c r="H188" s="7" t="s">
        <v>13</v>
      </c>
      <c r="J188" t="s">
        <v>15</v>
      </c>
      <c r="K188" t="str">
        <f t="shared" si="2"/>
        <v>TS-UD-COH-RUL-001test_009_r12_wbs_budget_zero_warning</v>
      </c>
    </row>
    <row r="189" spans="1:11" ht="31.2" thickBot="1">
      <c r="A189" s="4" t="s">
        <v>231</v>
      </c>
      <c r="B189" s="4" t="s">
        <v>230</v>
      </c>
      <c r="C189" s="4" t="s">
        <v>243</v>
      </c>
      <c r="D189" s="4"/>
      <c r="E189" s="5"/>
      <c r="F189" s="9" t="s">
        <v>233</v>
      </c>
      <c r="G189" s="7" t="s">
        <v>12</v>
      </c>
      <c r="H189" s="7" t="s">
        <v>13</v>
      </c>
      <c r="J189" t="s">
        <v>15</v>
      </c>
      <c r="K189" t="str">
        <f t="shared" si="2"/>
        <v>TS-UD-COH-RUL-001test_010_r12_multiple_wbs_violations</v>
      </c>
    </row>
    <row r="190" spans="1:11" ht="31.2" thickBot="1">
      <c r="A190" s="4" t="s">
        <v>231</v>
      </c>
      <c r="B190" s="4" t="s">
        <v>230</v>
      </c>
      <c r="C190" s="4" t="s">
        <v>244</v>
      </c>
      <c r="D190" s="4"/>
      <c r="E190" s="5"/>
      <c r="F190" s="9" t="s">
        <v>233</v>
      </c>
      <c r="G190" s="7" t="s">
        <v>12</v>
      </c>
      <c r="H190" s="7" t="s">
        <v>13</v>
      </c>
      <c r="J190" t="s">
        <v>15</v>
      </c>
      <c r="K190" t="str">
        <f t="shared" si="2"/>
        <v>TS-UD-COH-RUL-001test_011_r12_alert_severity_high</v>
      </c>
    </row>
    <row r="191" spans="1:11" ht="31.2" thickBot="1">
      <c r="A191" s="4" t="s">
        <v>231</v>
      </c>
      <c r="B191" s="4" t="s">
        <v>230</v>
      </c>
      <c r="C191" s="4" t="s">
        <v>245</v>
      </c>
      <c r="D191" s="4"/>
      <c r="E191" s="5"/>
      <c r="F191" s="9" t="s">
        <v>233</v>
      </c>
      <c r="G191" s="7" t="s">
        <v>12</v>
      </c>
      <c r="H191" s="7" t="s">
        <v>13</v>
      </c>
      <c r="J191" t="s">
        <v>15</v>
      </c>
      <c r="K191" t="str">
        <f t="shared" si="2"/>
        <v>TS-UD-COH-RUL-001test_012_r12_affected_entities_list</v>
      </c>
    </row>
    <row r="192" spans="1:11" ht="31.2" thickBot="1">
      <c r="A192" s="4" t="s">
        <v>231</v>
      </c>
      <c r="B192" s="4" t="s">
        <v>230</v>
      </c>
      <c r="C192" s="4" t="s">
        <v>246</v>
      </c>
      <c r="D192" s="4"/>
      <c r="E192" s="5"/>
      <c r="F192" s="9" t="s">
        <v>233</v>
      </c>
      <c r="G192" s="7" t="s">
        <v>12</v>
      </c>
      <c r="H192" s="7" t="s">
        <v>13</v>
      </c>
      <c r="J192" t="s">
        <v>15</v>
      </c>
      <c r="K192" t="str">
        <f t="shared" si="2"/>
        <v>TS-UD-COH-RUL-001test_013_r13_scope_clause_no_wbs_alert</v>
      </c>
    </row>
    <row r="193" spans="1:11" ht="31.2" thickBot="1">
      <c r="A193" s="4" t="s">
        <v>231</v>
      </c>
      <c r="B193" s="4" t="s">
        <v>230</v>
      </c>
      <c r="C193" s="4" t="s">
        <v>247</v>
      </c>
      <c r="D193" s="4"/>
      <c r="E193" s="5"/>
      <c r="F193" s="9" t="s">
        <v>233</v>
      </c>
      <c r="G193" s="7" t="s">
        <v>12</v>
      </c>
      <c r="H193" s="7" t="s">
        <v>13</v>
      </c>
      <c r="J193" t="s">
        <v>15</v>
      </c>
      <c r="K193" t="str">
        <f t="shared" si="2"/>
        <v>TS-UD-COH-RUL-001test_014_r13_scope_clause_with_wbs_pass</v>
      </c>
    </row>
    <row r="194" spans="1:11" ht="31.2" thickBot="1">
      <c r="A194" s="4" t="s">
        <v>231</v>
      </c>
      <c r="B194" s="4" t="s">
        <v>230</v>
      </c>
      <c r="C194" s="4" t="s">
        <v>248</v>
      </c>
      <c r="D194" s="4"/>
      <c r="E194" s="5"/>
      <c r="F194" s="9" t="s">
        <v>233</v>
      </c>
      <c r="G194" s="7" t="s">
        <v>12</v>
      </c>
      <c r="H194" s="7" t="s">
        <v>13</v>
      </c>
      <c r="J194" t="s">
        <v>15</v>
      </c>
      <c r="K194" t="str">
        <f t="shared" si="2"/>
        <v>TS-UD-COH-RUL-001test_015_r13_partial_coverage_calculation</v>
      </c>
    </row>
    <row r="195" spans="1:11" ht="31.2" thickBot="1">
      <c r="A195" s="4" t="s">
        <v>231</v>
      </c>
      <c r="B195" s="4" t="s">
        <v>230</v>
      </c>
      <c r="C195" s="4" t="s">
        <v>249</v>
      </c>
      <c r="D195" s="4"/>
      <c r="E195" s="5"/>
      <c r="F195" s="9" t="s">
        <v>233</v>
      </c>
      <c r="G195" s="7" t="s">
        <v>12</v>
      </c>
      <c r="H195" s="7" t="s">
        <v>13</v>
      </c>
      <c r="J195" t="s">
        <v>15</v>
      </c>
      <c r="K195" t="str">
        <f t="shared" si="2"/>
        <v>TS-UD-COH-RUL-001test_016_r13_coverage_percentage_80</v>
      </c>
    </row>
    <row r="196" spans="1:11" ht="31.2" thickBot="1">
      <c r="A196" s="4" t="s">
        <v>231</v>
      </c>
      <c r="B196" s="4" t="s">
        <v>230</v>
      </c>
      <c r="C196" s="4" t="s">
        <v>250</v>
      </c>
      <c r="D196" s="4"/>
      <c r="E196" s="5"/>
      <c r="F196" s="9" t="s">
        <v>233</v>
      </c>
      <c r="G196" s="7" t="s">
        <v>12</v>
      </c>
      <c r="H196" s="7" t="s">
        <v>13</v>
      </c>
      <c r="J196" t="s">
        <v>15</v>
      </c>
      <c r="K196" t="str">
        <f t="shared" si="2"/>
        <v>TS-UD-COH-RUL-001test_017_r13_uncovered_clauses_list</v>
      </c>
    </row>
    <row r="197" spans="1:11" ht="31.2" thickBot="1">
      <c r="A197" s="4" t="s">
        <v>231</v>
      </c>
      <c r="B197" s="4" t="s">
        <v>230</v>
      </c>
      <c r="C197" s="4" t="s">
        <v>251</v>
      </c>
      <c r="D197" s="4"/>
      <c r="E197" s="5"/>
      <c r="F197" s="9" t="s">
        <v>252</v>
      </c>
      <c r="G197" s="7" t="s">
        <v>12</v>
      </c>
      <c r="H197" s="7" t="s">
        <v>13</v>
      </c>
      <c r="J197" t="s">
        <v>15</v>
      </c>
      <c r="K197" t="str">
        <f t="shared" si="2"/>
        <v>TS-UD-COH-RUL-001test_018_r13_alert_severity_high</v>
      </c>
    </row>
    <row r="198" spans="1:11" ht="31.2" thickBot="1">
      <c r="A198" s="4" t="s">
        <v>253</v>
      </c>
      <c r="B198" s="4" t="s">
        <v>230</v>
      </c>
      <c r="C198" s="4" t="s">
        <v>254</v>
      </c>
      <c r="D198" s="4"/>
      <c r="E198" s="5"/>
      <c r="F198" s="9" t="s">
        <v>252</v>
      </c>
      <c r="G198" s="7" t="s">
        <v>12</v>
      </c>
      <c r="H198" s="7" t="s">
        <v>13</v>
      </c>
      <c r="J198" t="s">
        <v>15</v>
      </c>
      <c r="K198" t="str">
        <f t="shared" si="2"/>
        <v>TS-UD-COH-RUL-002test_001_r6_deviation_10_percent_alert</v>
      </c>
    </row>
    <row r="199" spans="1:11" ht="31.2" thickBot="1">
      <c r="A199" s="4" t="s">
        <v>253</v>
      </c>
      <c r="B199" s="4" t="s">
        <v>230</v>
      </c>
      <c r="C199" s="4" t="s">
        <v>255</v>
      </c>
      <c r="D199" s="4"/>
      <c r="E199" s="5"/>
      <c r="F199" s="9" t="s">
        <v>252</v>
      </c>
      <c r="G199" s="7" t="s">
        <v>12</v>
      </c>
      <c r="H199" s="7" t="s">
        <v>13</v>
      </c>
      <c r="J199" t="s">
        <v>15</v>
      </c>
      <c r="K199" t="str">
        <f t="shared" si="2"/>
        <v>TS-UD-COH-RUL-002test_002_r6_deviation_5_percent_pass</v>
      </c>
    </row>
    <row r="200" spans="1:11" ht="31.2" thickBot="1">
      <c r="A200" s="4" t="s">
        <v>253</v>
      </c>
      <c r="B200" s="4" t="s">
        <v>230</v>
      </c>
      <c r="C200" s="4" t="s">
        <v>256</v>
      </c>
      <c r="D200" s="4"/>
      <c r="E200" s="5"/>
      <c r="F200" s="9" t="s">
        <v>252</v>
      </c>
      <c r="G200" s="7" t="s">
        <v>12</v>
      </c>
      <c r="H200" s="7" t="s">
        <v>13</v>
      </c>
      <c r="J200" t="s">
        <v>15</v>
      </c>
      <c r="K200" t="str">
        <f t="shared" si="2"/>
        <v>TS-UD-COH-RUL-002test_003_r6_deviation_4_9_percent_pass</v>
      </c>
    </row>
    <row r="201" spans="1:11" ht="31.2" thickBot="1">
      <c r="A201" s="4" t="s">
        <v>253</v>
      </c>
      <c r="B201" s="4" t="s">
        <v>230</v>
      </c>
      <c r="C201" s="4" t="s">
        <v>257</v>
      </c>
      <c r="D201" s="4"/>
      <c r="E201" s="5"/>
      <c r="F201" s="9" t="s">
        <v>252</v>
      </c>
      <c r="G201" s="7" t="s">
        <v>12</v>
      </c>
      <c r="H201" s="7" t="s">
        <v>13</v>
      </c>
      <c r="J201" t="s">
        <v>15</v>
      </c>
      <c r="K201" t="str">
        <f t="shared" si="2"/>
        <v>TS-UD-COH-RUL-002test_004_r6_over_budget_critical</v>
      </c>
    </row>
    <row r="202" spans="1:11" ht="31.2" thickBot="1">
      <c r="A202" s="4" t="s">
        <v>253</v>
      </c>
      <c r="B202" s="4" t="s">
        <v>230</v>
      </c>
      <c r="C202" s="4" t="s">
        <v>258</v>
      </c>
      <c r="D202" s="4"/>
      <c r="E202" s="5"/>
      <c r="F202" s="9" t="s">
        <v>252</v>
      </c>
      <c r="G202" s="7" t="s">
        <v>12</v>
      </c>
      <c r="H202" s="7" t="s">
        <v>13</v>
      </c>
      <c r="J202" t="s">
        <v>15</v>
      </c>
      <c r="K202" t="str">
        <f t="shared" si="2"/>
        <v>TS-UD-COH-RUL-002test_005_r6_under_budget_warning</v>
      </c>
    </row>
    <row r="203" spans="1:11" ht="31.2" thickBot="1">
      <c r="A203" s="4" t="s">
        <v>253</v>
      </c>
      <c r="B203" s="4" t="s">
        <v>230</v>
      </c>
      <c r="C203" s="4" t="s">
        <v>259</v>
      </c>
      <c r="D203" s="4"/>
      <c r="E203" s="5"/>
      <c r="F203" s="9" t="s">
        <v>252</v>
      </c>
      <c r="G203" s="7" t="s">
        <v>12</v>
      </c>
      <c r="H203" s="7" t="s">
        <v>13</v>
      </c>
      <c r="J203" t="s">
        <v>15</v>
      </c>
      <c r="K203" t="str">
        <f t="shared" si="2"/>
        <v>TS-UD-COH-RUL-002test_006_r6_exact_match_pass</v>
      </c>
    </row>
    <row r="204" spans="1:11" ht="31.2" thickBot="1">
      <c r="A204" s="4" t="s">
        <v>253</v>
      </c>
      <c r="B204" s="4" t="s">
        <v>230</v>
      </c>
      <c r="C204" s="4" t="s">
        <v>260</v>
      </c>
      <c r="D204" s="4"/>
      <c r="E204" s="5"/>
      <c r="F204" s="9" t="s">
        <v>252</v>
      </c>
      <c r="G204" s="7" t="s">
        <v>12</v>
      </c>
      <c r="H204" s="7" t="s">
        <v>13</v>
      </c>
      <c r="J204" t="s">
        <v>15</v>
      </c>
      <c r="K204" t="str">
        <f t="shared" si="2"/>
        <v>TS-UD-COH-RUL-002test_007_r15_bom_no_budget_alert</v>
      </c>
    </row>
    <row r="205" spans="1:11" ht="31.2" thickBot="1">
      <c r="A205" s="4" t="s">
        <v>253</v>
      </c>
      <c r="B205" s="4" t="s">
        <v>230</v>
      </c>
      <c r="C205" s="4" t="s">
        <v>261</v>
      </c>
      <c r="D205" s="4"/>
      <c r="E205" s="5"/>
      <c r="F205" s="9" t="s">
        <v>252</v>
      </c>
      <c r="G205" s="7" t="s">
        <v>12</v>
      </c>
      <c r="H205" s="7" t="s">
        <v>13</v>
      </c>
      <c r="J205" t="s">
        <v>15</v>
      </c>
      <c r="K205" t="str">
        <f t="shared" si="2"/>
        <v>TS-UD-COH-RUL-002test_008_r15_bom_with_budget_pass</v>
      </c>
    </row>
    <row r="206" spans="1:11" ht="31.2" thickBot="1">
      <c r="A206" s="4" t="s">
        <v>253</v>
      </c>
      <c r="B206" s="4" t="s">
        <v>230</v>
      </c>
      <c r="C206" s="4" t="s">
        <v>262</v>
      </c>
      <c r="D206" s="4"/>
      <c r="E206" s="5"/>
      <c r="F206" s="9" t="s">
        <v>252</v>
      </c>
      <c r="G206" s="7" t="s">
        <v>12</v>
      </c>
      <c r="H206" s="7" t="s">
        <v>13</v>
      </c>
      <c r="J206" t="s">
        <v>15</v>
      </c>
      <c r="K206" t="str">
        <f t="shared" si="2"/>
        <v>TS-UD-COH-RUL-002test_009_r15_bom_client_provided_exception</v>
      </c>
    </row>
    <row r="207" spans="1:11" ht="31.2" thickBot="1">
      <c r="A207" s="4" t="s">
        <v>253</v>
      </c>
      <c r="B207" s="4" t="s">
        <v>230</v>
      </c>
      <c r="C207" s="4" t="s">
        <v>263</v>
      </c>
      <c r="D207" s="4"/>
      <c r="E207" s="5"/>
      <c r="F207" s="9" t="s">
        <v>252</v>
      </c>
      <c r="G207" s="7" t="s">
        <v>12</v>
      </c>
      <c r="H207" s="7" t="s">
        <v>13</v>
      </c>
      <c r="J207" t="s">
        <v>15</v>
      </c>
      <c r="K207" t="str">
        <f t="shared" si="2"/>
        <v>TS-UD-COH-RUL-002test_010_r15_multiple_bom_violations</v>
      </c>
    </row>
    <row r="208" spans="1:11" ht="31.2" thickBot="1">
      <c r="A208" s="4" t="s">
        <v>253</v>
      </c>
      <c r="B208" s="4" t="s">
        <v>230</v>
      </c>
      <c r="C208" s="4" t="s">
        <v>264</v>
      </c>
      <c r="D208" s="4"/>
      <c r="E208" s="5"/>
      <c r="F208" s="9" t="s">
        <v>252</v>
      </c>
      <c r="G208" s="7" t="s">
        <v>12</v>
      </c>
      <c r="H208" s="7" t="s">
        <v>13</v>
      </c>
      <c r="J208" t="s">
        <v>15</v>
      </c>
      <c r="K208" t="str">
        <f t="shared" si="2"/>
        <v>TS-UD-COH-RUL-002test_011_r15_affected_items_list</v>
      </c>
    </row>
    <row r="209" spans="1:11" ht="31.2" thickBot="1">
      <c r="A209" s="4" t="s">
        <v>253</v>
      </c>
      <c r="B209" s="4" t="s">
        <v>230</v>
      </c>
      <c r="C209" s="4" t="s">
        <v>265</v>
      </c>
      <c r="D209" s="4"/>
      <c r="E209" s="5"/>
      <c r="F209" s="9" t="s">
        <v>252</v>
      </c>
      <c r="G209" s="7" t="s">
        <v>12</v>
      </c>
      <c r="H209" s="7" t="s">
        <v>13</v>
      </c>
      <c r="J209" t="s">
        <v>15</v>
      </c>
      <c r="K209" t="str">
        <f t="shared" si="2"/>
        <v>TS-UD-COH-RUL-002test_012_r16_deviation_11_percent_alert</v>
      </c>
    </row>
    <row r="210" spans="1:11" ht="31.2" thickBot="1">
      <c r="A210" s="4" t="s">
        <v>253</v>
      </c>
      <c r="B210" s="4" t="s">
        <v>230</v>
      </c>
      <c r="C210" s="4" t="s">
        <v>266</v>
      </c>
      <c r="D210" s="4"/>
      <c r="E210" s="5"/>
      <c r="F210" s="9" t="s">
        <v>252</v>
      </c>
      <c r="G210" s="7" t="s">
        <v>12</v>
      </c>
      <c r="H210" s="7" t="s">
        <v>13</v>
      </c>
      <c r="J210" t="s">
        <v>15</v>
      </c>
      <c r="K210" t="str">
        <f t="shared" si="2"/>
        <v>TS-UD-COH-RUL-002test_013_r16_deviation_10_percent_pass</v>
      </c>
    </row>
    <row r="211" spans="1:11" ht="31.2" thickBot="1">
      <c r="A211" s="4" t="s">
        <v>253</v>
      </c>
      <c r="B211" s="4" t="s">
        <v>230</v>
      </c>
      <c r="C211" s="4" t="s">
        <v>267</v>
      </c>
      <c r="D211" s="4"/>
      <c r="E211" s="5"/>
      <c r="F211" s="9" t="s">
        <v>252</v>
      </c>
      <c r="G211" s="7" t="s">
        <v>12</v>
      </c>
      <c r="H211" s="7" t="s">
        <v>13</v>
      </c>
      <c r="J211" t="s">
        <v>15</v>
      </c>
      <c r="K211" t="str">
        <f t="shared" si="2"/>
        <v>TS-UD-COH-RUL-002test_014_r16_over_budget_critical</v>
      </c>
    </row>
    <row r="212" spans="1:11" ht="31.2" thickBot="1">
      <c r="A212" s="4" t="s">
        <v>253</v>
      </c>
      <c r="B212" s="4" t="s">
        <v>230</v>
      </c>
      <c r="C212" s="4" t="s">
        <v>268</v>
      </c>
      <c r="D212" s="4"/>
      <c r="E212" s="5"/>
      <c r="F212" s="9" t="s">
        <v>252</v>
      </c>
      <c r="G212" s="7" t="s">
        <v>12</v>
      </c>
      <c r="H212" s="7" t="s">
        <v>13</v>
      </c>
      <c r="J212" t="s">
        <v>15</v>
      </c>
      <c r="K212" t="str">
        <f t="shared" si="2"/>
        <v>TS-UD-COH-RUL-002test_015_r16_under_budget_different_severity</v>
      </c>
    </row>
    <row r="213" spans="1:11" ht="31.2" thickBot="1">
      <c r="A213" s="4" t="s">
        <v>253</v>
      </c>
      <c r="B213" s="4" t="s">
        <v>230</v>
      </c>
      <c r="C213" s="4" t="s">
        <v>269</v>
      </c>
      <c r="D213" s="4"/>
      <c r="E213" s="5"/>
      <c r="F213" s="9" t="s">
        <v>252</v>
      </c>
      <c r="G213" s="7" t="s">
        <v>12</v>
      </c>
      <c r="H213" s="7" t="s">
        <v>13</v>
      </c>
      <c r="J213" t="s">
        <v>15</v>
      </c>
      <c r="K213" t="str">
        <f t="shared" si="2"/>
        <v>TS-UD-COH-RUL-002test_016_r16_trend_calculation</v>
      </c>
    </row>
    <row r="214" spans="1:11" ht="31.2" thickBot="1">
      <c r="A214" s="4" t="s">
        <v>270</v>
      </c>
      <c r="B214" s="4" t="s">
        <v>230</v>
      </c>
      <c r="C214" s="4" t="s">
        <v>271</v>
      </c>
      <c r="D214" s="4"/>
      <c r="E214" s="5"/>
      <c r="F214" s="9" t="s">
        <v>272</v>
      </c>
      <c r="G214" s="7" t="s">
        <v>12</v>
      </c>
      <c r="H214" s="7" t="s">
        <v>13</v>
      </c>
      <c r="I214" t="s">
        <v>234</v>
      </c>
      <c r="J214" t="s">
        <v>15</v>
      </c>
      <c r="K214" t="str">
        <f t="shared" si="2"/>
        <v>TS-UD-COH-RUL-003test_001_r1_dates_mismatch_alert</v>
      </c>
    </row>
    <row r="215" spans="1:11" ht="31.2" thickBot="1">
      <c r="A215" s="4" t="s">
        <v>270</v>
      </c>
      <c r="B215" s="4" t="s">
        <v>230</v>
      </c>
      <c r="C215" s="4" t="s">
        <v>273</v>
      </c>
      <c r="D215" s="4"/>
      <c r="E215" s="5"/>
      <c r="F215" s="9" t="s">
        <v>272</v>
      </c>
      <c r="G215" s="7" t="s">
        <v>12</v>
      </c>
      <c r="H215" s="7" t="s">
        <v>13</v>
      </c>
      <c r="J215" t="s">
        <v>15</v>
      </c>
      <c r="K215" t="str">
        <f t="shared" si="2"/>
        <v>TS-UD-COH-RUL-003test_002_r1_dates_match_pass</v>
      </c>
    </row>
    <row r="216" spans="1:11" ht="31.2" thickBot="1">
      <c r="A216" s="4" t="s">
        <v>270</v>
      </c>
      <c r="B216" s="4" t="s">
        <v>230</v>
      </c>
      <c r="C216" s="4" t="s">
        <v>274</v>
      </c>
      <c r="D216" s="4"/>
      <c r="E216" s="5"/>
      <c r="F216" s="9" t="s">
        <v>272</v>
      </c>
      <c r="G216" s="7" t="s">
        <v>12</v>
      </c>
      <c r="H216" s="7" t="s">
        <v>13</v>
      </c>
      <c r="J216" t="s">
        <v>15</v>
      </c>
      <c r="K216" t="str">
        <f t="shared" si="2"/>
        <v>TS-UD-COH-RUL-003test_003_r1_schedule_late_critical</v>
      </c>
    </row>
    <row r="217" spans="1:11" ht="31.2" thickBot="1">
      <c r="A217" s="4" t="s">
        <v>270</v>
      </c>
      <c r="B217" s="4" t="s">
        <v>230</v>
      </c>
      <c r="C217" s="4" t="s">
        <v>275</v>
      </c>
      <c r="D217" s="4"/>
      <c r="E217" s="5"/>
      <c r="F217" s="9" t="s">
        <v>272</v>
      </c>
      <c r="G217" s="7" t="s">
        <v>12</v>
      </c>
      <c r="H217" s="7" t="s">
        <v>13</v>
      </c>
      <c r="J217" t="s">
        <v>15</v>
      </c>
      <c r="K217" t="str">
        <f t="shared" ref="K217:K280" si="3">CONCATENATE(A217,C217)</f>
        <v>TS-UD-COH-RUL-003test_004_r1_schedule_early_warning</v>
      </c>
    </row>
    <row r="218" spans="1:11" ht="31.2" thickBot="1">
      <c r="A218" s="4" t="s">
        <v>270</v>
      </c>
      <c r="B218" s="4" t="s">
        <v>230</v>
      </c>
      <c r="C218" s="4" t="s">
        <v>276</v>
      </c>
      <c r="D218" s="4"/>
      <c r="E218" s="5"/>
      <c r="F218" s="9" t="s">
        <v>272</v>
      </c>
      <c r="G218" s="7" t="s">
        <v>12</v>
      </c>
      <c r="H218" s="7" t="s">
        <v>13</v>
      </c>
      <c r="J218" t="s">
        <v>15</v>
      </c>
      <c r="K218" t="str">
        <f t="shared" si="3"/>
        <v>TS-UD-COH-RUL-003test_005_r1_delta_days_calculation</v>
      </c>
    </row>
    <row r="219" spans="1:11" ht="31.2" thickBot="1">
      <c r="A219" s="4" t="s">
        <v>270</v>
      </c>
      <c r="B219" s="4" t="s">
        <v>230</v>
      </c>
      <c r="C219" s="4" t="s">
        <v>277</v>
      </c>
      <c r="D219" s="4"/>
      <c r="E219" s="5"/>
      <c r="F219" s="9" t="s">
        <v>272</v>
      </c>
      <c r="G219" s="7" t="s">
        <v>12</v>
      </c>
      <c r="H219" s="7" t="s">
        <v>13</v>
      </c>
      <c r="J219" t="s">
        <v>15</v>
      </c>
      <c r="K219" t="str">
        <f t="shared" si="3"/>
        <v>TS-UD-COH-RUL-003test_006_r2_milestone_no_activity_alert</v>
      </c>
    </row>
    <row r="220" spans="1:11" ht="31.2" thickBot="1">
      <c r="A220" s="4" t="s">
        <v>270</v>
      </c>
      <c r="B220" s="4" t="s">
        <v>230</v>
      </c>
      <c r="C220" s="4" t="s">
        <v>278</v>
      </c>
      <c r="D220" s="4"/>
      <c r="E220" s="5"/>
      <c r="F220" s="9" t="s">
        <v>272</v>
      </c>
      <c r="G220" s="7" t="s">
        <v>12</v>
      </c>
      <c r="H220" s="7" t="s">
        <v>13</v>
      </c>
      <c r="J220" t="s">
        <v>15</v>
      </c>
      <c r="K220" t="str">
        <f t="shared" si="3"/>
        <v>TS-UD-COH-RUL-003test_007_r2_milestone_with_activity_pass</v>
      </c>
    </row>
    <row r="221" spans="1:11" ht="31.2" thickBot="1">
      <c r="A221" s="4" t="s">
        <v>270</v>
      </c>
      <c r="B221" s="4" t="s">
        <v>230</v>
      </c>
      <c r="C221" s="4" t="s">
        <v>279</v>
      </c>
      <c r="D221" s="4"/>
      <c r="E221" s="5"/>
      <c r="F221" s="9" t="s">
        <v>272</v>
      </c>
      <c r="G221" s="7" t="s">
        <v>12</v>
      </c>
      <c r="H221" s="7" t="s">
        <v>13</v>
      </c>
      <c r="J221" t="s">
        <v>15</v>
      </c>
      <c r="K221" t="str">
        <f t="shared" si="3"/>
        <v>TS-UD-COH-RUL-003test_008_r2_milestone_date_mismatch_alert</v>
      </c>
    </row>
    <row r="222" spans="1:11" ht="31.2" thickBot="1">
      <c r="A222" s="4" t="s">
        <v>270</v>
      </c>
      <c r="B222" s="4" t="s">
        <v>230</v>
      </c>
      <c r="C222" s="4" t="s">
        <v>280</v>
      </c>
      <c r="D222" s="4"/>
      <c r="E222" s="5"/>
      <c r="F222" s="9" t="s">
        <v>272</v>
      </c>
      <c r="G222" s="7" t="s">
        <v>12</v>
      </c>
      <c r="H222" s="7" t="s">
        <v>13</v>
      </c>
      <c r="J222" t="s">
        <v>15</v>
      </c>
      <c r="K222" t="str">
        <f t="shared" si="3"/>
        <v>TS-UD-COH-RUL-003test_009_r2_multiple_milestones_violations</v>
      </c>
    </row>
    <row r="223" spans="1:11" ht="31.2" thickBot="1">
      <c r="A223" s="4" t="s">
        <v>270</v>
      </c>
      <c r="B223" s="4" t="s">
        <v>230</v>
      </c>
      <c r="C223" s="4" t="s">
        <v>281</v>
      </c>
      <c r="D223" s="4"/>
      <c r="E223" s="5"/>
      <c r="F223" s="9" t="s">
        <v>272</v>
      </c>
      <c r="G223" s="7" t="s">
        <v>12</v>
      </c>
      <c r="H223" s="7" t="s">
        <v>13</v>
      </c>
      <c r="J223" t="s">
        <v>15</v>
      </c>
      <c r="K223" t="str">
        <f t="shared" si="3"/>
        <v>TS-UD-COH-RUL-003test_010_r2_unlinked_milestones_list</v>
      </c>
    </row>
    <row r="224" spans="1:11" ht="31.2" thickBot="1">
      <c r="A224" s="4" t="s">
        <v>270</v>
      </c>
      <c r="B224" s="4" t="s">
        <v>230</v>
      </c>
      <c r="C224" s="4" t="s">
        <v>282</v>
      </c>
      <c r="D224" s="4"/>
      <c r="E224" s="5"/>
      <c r="F224" s="9" t="s">
        <v>272</v>
      </c>
      <c r="G224" s="7" t="s">
        <v>12</v>
      </c>
      <c r="H224" s="7" t="s">
        <v>13</v>
      </c>
      <c r="J224" t="s">
        <v>15</v>
      </c>
      <c r="K224" t="str">
        <f t="shared" si="3"/>
        <v>TS-UD-COH-RUL-003test_011_r5_activity_exceeds_contract_alert</v>
      </c>
    </row>
    <row r="225" spans="1:11" ht="31.2" thickBot="1">
      <c r="A225" s="4" t="s">
        <v>270</v>
      </c>
      <c r="B225" s="4" t="s">
        <v>230</v>
      </c>
      <c r="C225" s="4" t="s">
        <v>283</v>
      </c>
      <c r="D225" s="4"/>
      <c r="E225" s="5"/>
      <c r="F225" s="9" t="s">
        <v>272</v>
      </c>
      <c r="G225" s="7" t="s">
        <v>12</v>
      </c>
      <c r="H225" s="7" t="s">
        <v>13</v>
      </c>
      <c r="J225" t="s">
        <v>15</v>
      </c>
      <c r="K225" t="str">
        <f t="shared" si="3"/>
        <v>TS-UD-COH-RUL-003test_012_r5_activity_within_contract_pass</v>
      </c>
    </row>
    <row r="226" spans="1:11" ht="31.2" thickBot="1">
      <c r="A226" s="4" t="s">
        <v>270</v>
      </c>
      <c r="B226" s="4" t="s">
        <v>230</v>
      </c>
      <c r="C226" s="4" t="s">
        <v>284</v>
      </c>
      <c r="D226" s="4"/>
      <c r="E226" s="5"/>
      <c r="F226" s="9" t="s">
        <v>272</v>
      </c>
      <c r="G226" s="7" t="s">
        <v>12</v>
      </c>
      <c r="H226" s="7" t="s">
        <v>13</v>
      </c>
      <c r="J226" t="s">
        <v>15</v>
      </c>
      <c r="K226" t="str">
        <f t="shared" si="3"/>
        <v>TS-UD-COH-RUL-003test_013_r5_exceeding_activities_list</v>
      </c>
    </row>
    <row r="227" spans="1:11" ht="31.2" thickBot="1">
      <c r="A227" s="4" t="s">
        <v>270</v>
      </c>
      <c r="B227" s="4" t="s">
        <v>230</v>
      </c>
      <c r="C227" s="4" t="s">
        <v>285</v>
      </c>
      <c r="D227" s="4"/>
      <c r="E227" s="5"/>
      <c r="F227" s="9" t="s">
        <v>272</v>
      </c>
      <c r="G227" s="7" t="s">
        <v>12</v>
      </c>
      <c r="H227" s="7" t="s">
        <v>13</v>
      </c>
      <c r="J227" t="s">
        <v>15</v>
      </c>
      <c r="K227" t="str">
        <f t="shared" si="3"/>
        <v>TS-UD-COH-RUL-003test_014_r5_alert_severity_critical</v>
      </c>
    </row>
    <row r="228" spans="1:11" ht="31.2" thickBot="1">
      <c r="A228" s="4" t="s">
        <v>270</v>
      </c>
      <c r="B228" s="4" t="s">
        <v>230</v>
      </c>
      <c r="C228" s="4" t="s">
        <v>286</v>
      </c>
      <c r="D228" s="4"/>
      <c r="E228" s="5"/>
      <c r="F228" s="9" t="s">
        <v>272</v>
      </c>
      <c r="G228" s="7" t="s">
        <v>12</v>
      </c>
      <c r="H228" s="7" t="s">
        <v>13</v>
      </c>
      <c r="J228" t="s">
        <v>15</v>
      </c>
      <c r="K228" t="str">
        <f t="shared" si="3"/>
        <v>TS-UD-COH-RUL-003test_015_r14_order_date_passed_critical</v>
      </c>
    </row>
    <row r="229" spans="1:11" ht="31.2" thickBot="1">
      <c r="A229" s="4" t="s">
        <v>270</v>
      </c>
      <c r="B229" s="4" t="s">
        <v>230</v>
      </c>
      <c r="C229" s="4" t="s">
        <v>287</v>
      </c>
      <c r="D229" s="4"/>
      <c r="E229" s="5"/>
      <c r="F229" s="9" t="s">
        <v>272</v>
      </c>
      <c r="G229" s="7" t="s">
        <v>12</v>
      </c>
      <c r="H229" s="7" t="s">
        <v>13</v>
      </c>
      <c r="J229" t="s">
        <v>15</v>
      </c>
      <c r="K229" t="str">
        <f t="shared" si="3"/>
        <v>TS-UD-COH-RUL-003test_016_r14_order_date_tight_warning</v>
      </c>
    </row>
    <row r="230" spans="1:11" ht="31.2" thickBot="1">
      <c r="A230" s="4" t="s">
        <v>288</v>
      </c>
      <c r="B230" s="4" t="s">
        <v>230</v>
      </c>
      <c r="C230" s="4" t="s">
        <v>142</v>
      </c>
      <c r="D230" s="4"/>
      <c r="E230" s="5"/>
      <c r="F230" s="2"/>
      <c r="J230" t="s">
        <v>15</v>
      </c>
      <c r="K230" t="str">
        <f t="shared" si="3"/>
        <v>TS-UD-COH-RUL-004Tests not individually listed</v>
      </c>
    </row>
    <row r="231" spans="1:11" ht="31.2" thickBot="1">
      <c r="A231" s="4" t="s">
        <v>289</v>
      </c>
      <c r="B231" s="4" t="s">
        <v>230</v>
      </c>
      <c r="C231" s="4" t="s">
        <v>142</v>
      </c>
      <c r="D231" s="4"/>
      <c r="E231" s="5"/>
      <c r="F231" s="2"/>
      <c r="J231" t="s">
        <v>15</v>
      </c>
      <c r="K231" t="str">
        <f t="shared" si="3"/>
        <v>TS-UD-COH-RUL-005Tests not individually listed</v>
      </c>
    </row>
    <row r="232" spans="1:11" ht="31.2" thickBot="1">
      <c r="A232" s="4" t="s">
        <v>290</v>
      </c>
      <c r="B232" s="4" t="s">
        <v>230</v>
      </c>
      <c r="C232" s="4" t="s">
        <v>142</v>
      </c>
      <c r="D232" s="4"/>
      <c r="E232" s="5"/>
      <c r="F232" s="2"/>
      <c r="J232" t="s">
        <v>15</v>
      </c>
      <c r="K232" t="str">
        <f t="shared" si="3"/>
        <v>TS-UD-COH-RUL-006Tests not individually listed</v>
      </c>
    </row>
    <row r="233" spans="1:11" ht="31.2" thickBot="1">
      <c r="A233" s="4" t="s">
        <v>291</v>
      </c>
      <c r="B233" s="4" t="s">
        <v>230</v>
      </c>
      <c r="C233" s="4" t="s">
        <v>292</v>
      </c>
      <c r="D233" s="4"/>
      <c r="E233" s="5"/>
      <c r="F233" s="9" t="s">
        <v>293</v>
      </c>
      <c r="G233" s="7" t="s">
        <v>12</v>
      </c>
      <c r="H233" s="7" t="s">
        <v>13</v>
      </c>
      <c r="I233" s="7" t="s">
        <v>234</v>
      </c>
      <c r="J233" t="s">
        <v>15</v>
      </c>
      <c r="K233" t="str">
        <f t="shared" si="3"/>
        <v>TS-UD-COH-SCR-001test_001_subscore_no_alerts_100_percent</v>
      </c>
    </row>
    <row r="234" spans="1:11" ht="31.2" thickBot="1">
      <c r="A234" s="4" t="s">
        <v>291</v>
      </c>
      <c r="B234" s="4" t="s">
        <v>230</v>
      </c>
      <c r="C234" s="4" t="s">
        <v>294</v>
      </c>
      <c r="D234" s="4"/>
      <c r="E234" s="5"/>
      <c r="F234" s="9" t="s">
        <v>293</v>
      </c>
      <c r="G234" s="7" t="s">
        <v>12</v>
      </c>
      <c r="H234" s="7" t="s">
        <v>13</v>
      </c>
      <c r="J234" t="s">
        <v>15</v>
      </c>
      <c r="K234" t="str">
        <f t="shared" si="3"/>
        <v>TS-UD-COH-SCR-001test_002_subscore_one_alert_penalized</v>
      </c>
    </row>
    <row r="235" spans="1:11" ht="31.2" thickBot="1">
      <c r="A235" s="4" t="s">
        <v>291</v>
      </c>
      <c r="B235" s="4" t="s">
        <v>230</v>
      </c>
      <c r="C235" s="4" t="s">
        <v>295</v>
      </c>
      <c r="D235" s="4"/>
      <c r="E235" s="5"/>
      <c r="F235" s="9" t="s">
        <v>293</v>
      </c>
      <c r="G235" s="7" t="s">
        <v>12</v>
      </c>
      <c r="H235" s="7" t="s">
        <v>13</v>
      </c>
      <c r="J235" t="s">
        <v>15</v>
      </c>
      <c r="K235" t="str">
        <f t="shared" si="3"/>
        <v>TS-UD-COH-SCR-001test_003_subscore_multiple_alerts_cumulative</v>
      </c>
    </row>
    <row r="236" spans="1:11" ht="31.2" thickBot="1">
      <c r="A236" s="4" t="s">
        <v>291</v>
      </c>
      <c r="B236" s="4" t="s">
        <v>230</v>
      </c>
      <c r="C236" s="4" t="s">
        <v>296</v>
      </c>
      <c r="D236" s="4"/>
      <c r="E236" s="5"/>
      <c r="F236" s="9" t="s">
        <v>293</v>
      </c>
      <c r="G236" s="7" t="s">
        <v>12</v>
      </c>
      <c r="H236" s="7" t="s">
        <v>13</v>
      </c>
      <c r="J236" t="s">
        <v>15</v>
      </c>
      <c r="K236" t="str">
        <f t="shared" si="3"/>
        <v>TS-UD-COH-SCR-001test_004_subscore_severity_low_penalty_5</v>
      </c>
    </row>
    <row r="237" spans="1:11" ht="31.2" thickBot="1">
      <c r="A237" s="4" t="s">
        <v>291</v>
      </c>
      <c r="B237" s="4" t="s">
        <v>230</v>
      </c>
      <c r="C237" s="4" t="s">
        <v>297</v>
      </c>
      <c r="D237" s="4"/>
      <c r="E237" s="5"/>
      <c r="F237" s="9" t="s">
        <v>293</v>
      </c>
      <c r="G237" s="7" t="s">
        <v>12</v>
      </c>
      <c r="H237" s="7" t="s">
        <v>13</v>
      </c>
      <c r="J237" t="s">
        <v>15</v>
      </c>
      <c r="K237" t="str">
        <f t="shared" si="3"/>
        <v>TS-UD-COH-SCR-001test_005_subscore_severity_medium_penalty_10</v>
      </c>
    </row>
    <row r="238" spans="1:11" ht="31.2" thickBot="1">
      <c r="A238" s="4" t="s">
        <v>291</v>
      </c>
      <c r="B238" s="4" t="s">
        <v>230</v>
      </c>
      <c r="C238" s="4" t="s">
        <v>298</v>
      </c>
      <c r="D238" s="4"/>
      <c r="E238" s="5"/>
      <c r="F238" s="9" t="s">
        <v>293</v>
      </c>
      <c r="G238" s="7" t="s">
        <v>12</v>
      </c>
      <c r="H238" s="7" t="s">
        <v>13</v>
      </c>
      <c r="J238" t="s">
        <v>15</v>
      </c>
      <c r="K238" t="str">
        <f t="shared" si="3"/>
        <v>TS-UD-COH-SCR-001test_006_subscore_severity_high_penalty_20</v>
      </c>
    </row>
    <row r="239" spans="1:11" ht="31.2" thickBot="1">
      <c r="A239" s="4" t="s">
        <v>291</v>
      </c>
      <c r="B239" s="4" t="s">
        <v>230</v>
      </c>
      <c r="C239" s="4" t="s">
        <v>299</v>
      </c>
      <c r="D239" s="4"/>
      <c r="E239" s="5"/>
      <c r="F239" s="9" t="s">
        <v>293</v>
      </c>
      <c r="G239" s="7" t="s">
        <v>12</v>
      </c>
      <c r="H239" s="7" t="s">
        <v>13</v>
      </c>
      <c r="J239" t="s">
        <v>15</v>
      </c>
      <c r="K239" t="str">
        <f t="shared" si="3"/>
        <v>TS-UD-COH-SCR-001test_007_subscore_severity_critical_penalty_30</v>
      </c>
    </row>
    <row r="240" spans="1:11" ht="31.2" thickBot="1">
      <c r="A240" s="4" t="s">
        <v>291</v>
      </c>
      <c r="B240" s="4" t="s">
        <v>230</v>
      </c>
      <c r="C240" s="4" t="s">
        <v>300</v>
      </c>
      <c r="D240" s="4"/>
      <c r="E240" s="5"/>
      <c r="F240" s="9" t="s">
        <v>293</v>
      </c>
      <c r="G240" s="7" t="s">
        <v>12</v>
      </c>
      <c r="H240" s="7" t="s">
        <v>13</v>
      </c>
      <c r="J240" t="s">
        <v>15</v>
      </c>
      <c r="K240" t="str">
        <f t="shared" si="3"/>
        <v>TS-UD-COH-SCR-001test_008_subscore_scope_calculation</v>
      </c>
    </row>
    <row r="241" spans="1:11" ht="31.2" thickBot="1">
      <c r="A241" s="4" t="s">
        <v>291</v>
      </c>
      <c r="B241" s="4" t="s">
        <v>230</v>
      </c>
      <c r="C241" s="4" t="s">
        <v>301</v>
      </c>
      <c r="D241" s="4"/>
      <c r="E241" s="5"/>
      <c r="F241" s="9" t="s">
        <v>293</v>
      </c>
      <c r="G241" s="7" t="s">
        <v>12</v>
      </c>
      <c r="H241" s="7" t="s">
        <v>13</v>
      </c>
      <c r="J241" t="s">
        <v>15</v>
      </c>
      <c r="K241" t="str">
        <f t="shared" si="3"/>
        <v>TS-UD-COH-SCR-001test_009_subscore_budget_calculation</v>
      </c>
    </row>
    <row r="242" spans="1:11" ht="31.2" thickBot="1">
      <c r="A242" s="4" t="s">
        <v>291</v>
      </c>
      <c r="B242" s="4" t="s">
        <v>230</v>
      </c>
      <c r="C242" s="4" t="s">
        <v>302</v>
      </c>
      <c r="D242" s="4"/>
      <c r="E242" s="5"/>
      <c r="F242" s="9" t="s">
        <v>293</v>
      </c>
      <c r="G242" s="7" t="s">
        <v>12</v>
      </c>
      <c r="H242" s="7" t="s">
        <v>13</v>
      </c>
      <c r="J242" t="s">
        <v>15</v>
      </c>
      <c r="K242" t="str">
        <f t="shared" si="3"/>
        <v>TS-UD-COH-SCR-001test_010_subscore_quality_calculation</v>
      </c>
    </row>
    <row r="243" spans="1:11" ht="31.2" thickBot="1">
      <c r="A243" s="4" t="s">
        <v>291</v>
      </c>
      <c r="B243" s="4" t="s">
        <v>230</v>
      </c>
      <c r="C243" s="4" t="s">
        <v>303</v>
      </c>
      <c r="D243" s="4"/>
      <c r="E243" s="5"/>
      <c r="F243" s="9" t="s">
        <v>293</v>
      </c>
      <c r="G243" s="7" t="s">
        <v>12</v>
      </c>
      <c r="H243" s="7" t="s">
        <v>13</v>
      </c>
      <c r="J243" t="s">
        <v>15</v>
      </c>
      <c r="K243" t="str">
        <f t="shared" si="3"/>
        <v>TS-UD-COH-SCR-001test_011_subscore_technical_calculation</v>
      </c>
    </row>
    <row r="244" spans="1:11" ht="31.2" thickBot="1">
      <c r="A244" s="4" t="s">
        <v>291</v>
      </c>
      <c r="B244" s="4" t="s">
        <v>230</v>
      </c>
      <c r="C244" s="4" t="s">
        <v>304</v>
      </c>
      <c r="D244" s="4"/>
      <c r="E244" s="5"/>
      <c r="F244" s="9" t="s">
        <v>293</v>
      </c>
      <c r="G244" s="7" t="s">
        <v>12</v>
      </c>
      <c r="H244" s="7" t="s">
        <v>13</v>
      </c>
      <c r="J244" t="s">
        <v>15</v>
      </c>
      <c r="K244" t="str">
        <f t="shared" si="3"/>
        <v>TS-UD-COH-SCR-001test_012_subscore_legal_calculation</v>
      </c>
    </row>
    <row r="245" spans="1:11" ht="31.2" thickBot="1">
      <c r="A245" s="4" t="s">
        <v>291</v>
      </c>
      <c r="B245" s="4" t="s">
        <v>230</v>
      </c>
      <c r="C245" s="4" t="s">
        <v>305</v>
      </c>
      <c r="D245" s="4"/>
      <c r="E245" s="5"/>
      <c r="F245" s="9" t="s">
        <v>293</v>
      </c>
      <c r="G245" s="7" t="s">
        <v>12</v>
      </c>
      <c r="H245" s="7" t="s">
        <v>13</v>
      </c>
      <c r="J245" t="s">
        <v>15</v>
      </c>
      <c r="K245" t="str">
        <f t="shared" si="3"/>
        <v>TS-UD-COH-SCR-001test_013_subscore_time_calculation</v>
      </c>
    </row>
    <row r="246" spans="1:11" ht="31.2" thickBot="1">
      <c r="A246" s="4" t="s">
        <v>291</v>
      </c>
      <c r="B246" s="4" t="s">
        <v>230</v>
      </c>
      <c r="C246" s="4" t="s">
        <v>306</v>
      </c>
      <c r="D246" s="4"/>
      <c r="E246" s="5"/>
      <c r="F246" s="9" t="s">
        <v>293</v>
      </c>
      <c r="G246" s="7" t="s">
        <v>12</v>
      </c>
      <c r="H246" s="7" t="s">
        <v>13</v>
      </c>
      <c r="J246" t="s">
        <v>15</v>
      </c>
      <c r="K246" t="str">
        <f t="shared" si="3"/>
        <v>TS-UD-COH-SCR-001test_014_subscore_floor_at_zero</v>
      </c>
    </row>
    <row r="247" spans="1:11" ht="31.2" thickBot="1">
      <c r="A247" s="4" t="s">
        <v>307</v>
      </c>
      <c r="B247" s="4" t="s">
        <v>230</v>
      </c>
      <c r="C247" s="4" t="s">
        <v>308</v>
      </c>
      <c r="D247" s="4"/>
      <c r="E247" s="5"/>
      <c r="F247" s="9" t="s">
        <v>309</v>
      </c>
      <c r="G247" s="7" t="s">
        <v>12</v>
      </c>
      <c r="H247" s="7" t="s">
        <v>13</v>
      </c>
      <c r="J247" t="s">
        <v>15</v>
      </c>
      <c r="K247" t="str">
        <f t="shared" si="3"/>
        <v>TS-UD-COH-SCR-002test_001_global_score_formula_verification</v>
      </c>
    </row>
    <row r="248" spans="1:11" ht="31.2" thickBot="1">
      <c r="A248" s="4" t="s">
        <v>307</v>
      </c>
      <c r="B248" s="4" t="s">
        <v>230</v>
      </c>
      <c r="C248" s="4" t="s">
        <v>310</v>
      </c>
      <c r="D248" s="4"/>
      <c r="E248" s="5"/>
      <c r="F248" s="9" t="s">
        <v>309</v>
      </c>
      <c r="G248" s="7" t="s">
        <v>12</v>
      </c>
      <c r="H248" s="7" t="s">
        <v>13</v>
      </c>
      <c r="J248" t="s">
        <v>15</v>
      </c>
      <c r="K248" t="str">
        <f t="shared" si="3"/>
        <v>TS-UD-COH-SCR-002test_002_global_score_default_weights</v>
      </c>
    </row>
    <row r="249" spans="1:11" ht="31.2" thickBot="1">
      <c r="A249" s="4" t="s">
        <v>307</v>
      </c>
      <c r="B249" s="4" t="s">
        <v>230</v>
      </c>
      <c r="C249" s="4" t="s">
        <v>311</v>
      </c>
      <c r="D249" s="4"/>
      <c r="E249" s="5"/>
      <c r="F249" s="9" t="s">
        <v>309</v>
      </c>
      <c r="G249" s="7" t="s">
        <v>12</v>
      </c>
      <c r="H249" s="7" t="s">
        <v>13</v>
      </c>
      <c r="J249" t="s">
        <v>15</v>
      </c>
      <c r="K249" t="str">
        <f t="shared" si="3"/>
        <v>TS-UD-COH-SCR-002test_003_global_score_all_100_equals_100</v>
      </c>
    </row>
    <row r="250" spans="1:11" ht="31.2" thickBot="1">
      <c r="A250" s="4" t="s">
        <v>307</v>
      </c>
      <c r="B250" s="4" t="s">
        <v>230</v>
      </c>
      <c r="C250" s="4" t="s">
        <v>312</v>
      </c>
      <c r="D250" s="4"/>
      <c r="E250" s="5"/>
      <c r="F250" s="9" t="s">
        <v>309</v>
      </c>
      <c r="G250" s="7" t="s">
        <v>12</v>
      </c>
      <c r="H250" s="7" t="s">
        <v>13</v>
      </c>
      <c r="J250" t="s">
        <v>15</v>
      </c>
      <c r="K250" t="str">
        <f t="shared" si="3"/>
        <v>TS-UD-COH-SCR-002test_004_global_score_all_0_equals_0</v>
      </c>
    </row>
    <row r="251" spans="1:11" ht="31.2" thickBot="1">
      <c r="A251" s="4" t="s">
        <v>307</v>
      </c>
      <c r="B251" s="4" t="s">
        <v>230</v>
      </c>
      <c r="C251" s="4" t="s">
        <v>313</v>
      </c>
      <c r="D251" s="4"/>
      <c r="E251" s="5"/>
      <c r="F251" s="9" t="s">
        <v>309</v>
      </c>
      <c r="G251" s="7" t="s">
        <v>12</v>
      </c>
      <c r="H251" s="7" t="s">
        <v>13</v>
      </c>
      <c r="J251" t="s">
        <v>15</v>
      </c>
      <c r="K251" t="str">
        <f t="shared" si="3"/>
        <v>TS-UD-COH-SCR-002test_005_global_score_mixed_subscores</v>
      </c>
    </row>
    <row r="252" spans="1:11" ht="31.2" thickBot="1">
      <c r="A252" s="4" t="s">
        <v>307</v>
      </c>
      <c r="B252" s="4" t="s">
        <v>230</v>
      </c>
      <c r="C252" s="4" t="s">
        <v>314</v>
      </c>
      <c r="D252" s="4"/>
      <c r="E252" s="5"/>
      <c r="F252" s="9" t="s">
        <v>309</v>
      </c>
      <c r="G252" s="7" t="s">
        <v>12</v>
      </c>
      <c r="H252" s="7" t="s">
        <v>13</v>
      </c>
      <c r="J252" t="s">
        <v>15</v>
      </c>
      <c r="K252" t="str">
        <f t="shared" si="3"/>
        <v>TS-UD-COH-SCR-002test_006_global_score_range_0_to_100</v>
      </c>
    </row>
    <row r="253" spans="1:11" ht="31.2" thickBot="1">
      <c r="A253" s="4" t="s">
        <v>307</v>
      </c>
      <c r="B253" s="4" t="s">
        <v>230</v>
      </c>
      <c r="C253" s="4" t="s">
        <v>315</v>
      </c>
      <c r="D253" s="4"/>
      <c r="E253" s="5"/>
      <c r="F253" s="9" t="s">
        <v>309</v>
      </c>
      <c r="G253" s="7" t="s">
        <v>12</v>
      </c>
      <c r="H253" s="7" t="s">
        <v>13</v>
      </c>
      <c r="J253" t="s">
        <v>15</v>
      </c>
      <c r="K253" t="str">
        <f t="shared" si="3"/>
        <v>TS-UD-COH-SCR-002test_007_weights_sum_validation</v>
      </c>
    </row>
    <row r="254" spans="1:11" ht="31.2" thickBot="1">
      <c r="A254" s="4" t="s">
        <v>307</v>
      </c>
      <c r="B254" s="4" t="s">
        <v>230</v>
      </c>
      <c r="C254" s="4" t="s">
        <v>316</v>
      </c>
      <c r="D254" s="4"/>
      <c r="E254" s="5"/>
      <c r="F254" s="9" t="s">
        <v>309</v>
      </c>
      <c r="G254" s="7" t="s">
        <v>12</v>
      </c>
      <c r="H254" s="7" t="s">
        <v>13</v>
      </c>
      <c r="J254" t="s">
        <v>15</v>
      </c>
      <c r="K254" t="str">
        <f t="shared" si="3"/>
        <v>TS-UD-COH-SCR-002test_008_weights_normalization_auto</v>
      </c>
    </row>
    <row r="255" spans="1:11" ht="31.2" thickBot="1">
      <c r="A255" s="4" t="s">
        <v>307</v>
      </c>
      <c r="B255" s="4" t="s">
        <v>230</v>
      </c>
      <c r="C255" s="4" t="s">
        <v>317</v>
      </c>
      <c r="D255" s="4"/>
      <c r="E255" s="5"/>
      <c r="F255" s="9" t="s">
        <v>309</v>
      </c>
      <c r="G255" s="7" t="s">
        <v>12</v>
      </c>
      <c r="H255" s="7" t="s">
        <v>13</v>
      </c>
      <c r="J255" t="s">
        <v>15</v>
      </c>
      <c r="K255" t="str">
        <f t="shared" si="3"/>
        <v>TS-UD-COH-SCR-002test_009_weights_custom_budget_30</v>
      </c>
    </row>
    <row r="256" spans="1:11" ht="31.2" thickBot="1">
      <c r="A256" s="4" t="s">
        <v>307</v>
      </c>
      <c r="B256" s="4" t="s">
        <v>230</v>
      </c>
      <c r="C256" s="4" t="s">
        <v>318</v>
      </c>
      <c r="D256" s="4"/>
      <c r="E256" s="5"/>
      <c r="F256" s="9" t="s">
        <v>309</v>
      </c>
      <c r="G256" s="7" t="s">
        <v>12</v>
      </c>
      <c r="H256" s="7" t="s">
        <v>13</v>
      </c>
      <c r="J256" t="s">
        <v>15</v>
      </c>
      <c r="K256" t="str">
        <f t="shared" si="3"/>
        <v>TS-UD-COH-SCR-002test_010_weights_custom_time_25</v>
      </c>
    </row>
    <row r="257" spans="1:11" ht="31.2" thickBot="1">
      <c r="A257" s="4" t="s">
        <v>307</v>
      </c>
      <c r="B257" s="4" t="s">
        <v>230</v>
      </c>
      <c r="C257" s="4" t="s">
        <v>319</v>
      </c>
      <c r="D257" s="4"/>
      <c r="E257" s="5"/>
      <c r="F257" s="9" t="s">
        <v>309</v>
      </c>
      <c r="G257" s="7" t="s">
        <v>12</v>
      </c>
      <c r="H257" s="7" t="s">
        <v>13</v>
      </c>
      <c r="J257" t="s">
        <v>15</v>
      </c>
      <c r="K257" t="str">
        <f t="shared" si="3"/>
        <v>TS-UD-COH-SCR-002test_011_weights_per_project_type</v>
      </c>
    </row>
    <row r="258" spans="1:11" ht="31.2" thickBot="1">
      <c r="A258" s="4" t="s">
        <v>307</v>
      </c>
      <c r="B258" s="4" t="s">
        <v>230</v>
      </c>
      <c r="C258" s="4" t="s">
        <v>320</v>
      </c>
      <c r="D258" s="4"/>
      <c r="E258" s="5"/>
      <c r="F258" s="9" t="s">
        <v>309</v>
      </c>
      <c r="G258" s="7" t="s">
        <v>12</v>
      </c>
      <c r="H258" s="7" t="s">
        <v>13</v>
      </c>
      <c r="J258" t="s">
        <v>15</v>
      </c>
      <c r="K258" t="str">
        <f t="shared" si="3"/>
        <v>TS-UD-COH-SCR-002test_012_weights_history_tracking</v>
      </c>
    </row>
    <row r="259" spans="1:11" ht="31.2" thickBot="1">
      <c r="A259" s="4" t="s">
        <v>321</v>
      </c>
      <c r="B259" s="4" t="s">
        <v>230</v>
      </c>
      <c r="C259" s="4" t="s">
        <v>142</v>
      </c>
      <c r="D259" s="4"/>
      <c r="E259" s="5"/>
      <c r="F259" s="2"/>
      <c r="J259" t="s">
        <v>15</v>
      </c>
    </row>
    <row r="260" spans="1:11" ht="31.2" thickBot="1">
      <c r="A260" s="4" t="s">
        <v>322</v>
      </c>
      <c r="B260" s="4" t="s">
        <v>230</v>
      </c>
      <c r="C260" s="4" t="s">
        <v>323</v>
      </c>
      <c r="D260" s="4"/>
      <c r="E260" s="5"/>
      <c r="F260" s="9" t="s">
        <v>324</v>
      </c>
      <c r="G260" s="7" t="s">
        <v>12</v>
      </c>
      <c r="H260" s="7" t="s">
        <v>13</v>
      </c>
      <c r="J260" t="s">
        <v>15</v>
      </c>
      <c r="K260" t="str">
        <f t="shared" si="3"/>
        <v>TS-UD-COH-GAM-001test_001_detect_mass_changes_15_in_30min</v>
      </c>
    </row>
    <row r="261" spans="1:11" ht="31.2" thickBot="1">
      <c r="A261" s="4" t="s">
        <v>322</v>
      </c>
      <c r="B261" s="4" t="s">
        <v>230</v>
      </c>
      <c r="C261" s="4" t="s">
        <v>325</v>
      </c>
      <c r="D261" s="4"/>
      <c r="E261" s="5"/>
      <c r="F261" s="9" t="s">
        <v>324</v>
      </c>
      <c r="G261" s="7" t="s">
        <v>12</v>
      </c>
      <c r="H261" s="7" t="s">
        <v>13</v>
      </c>
      <c r="J261" t="s">
        <v>15</v>
      </c>
      <c r="K261" t="str">
        <f t="shared" si="3"/>
        <v>TS-UD-COH-GAM-001test_002_no_violation_10_in_60min</v>
      </c>
    </row>
    <row r="262" spans="1:11" ht="31.2" thickBot="1">
      <c r="A262" s="4" t="s">
        <v>322</v>
      </c>
      <c r="B262" s="4" t="s">
        <v>230</v>
      </c>
      <c r="C262" s="4" t="s">
        <v>326</v>
      </c>
      <c r="D262" s="4"/>
      <c r="E262" s="5"/>
      <c r="F262" s="9" t="s">
        <v>324</v>
      </c>
      <c r="G262" s="7" t="s">
        <v>12</v>
      </c>
      <c r="H262" s="7" t="s">
        <v>13</v>
      </c>
      <c r="J262" t="s">
        <v>15</v>
      </c>
      <c r="K262" t="str">
        <f t="shared" si="3"/>
        <v>TS-UD-COH-GAM-001test_003_mass_changes_window_sliding</v>
      </c>
    </row>
    <row r="263" spans="1:11" ht="31.2" thickBot="1">
      <c r="A263" s="4" t="s">
        <v>322</v>
      </c>
      <c r="B263" s="4" t="s">
        <v>230</v>
      </c>
      <c r="C263" s="4" t="s">
        <v>327</v>
      </c>
      <c r="D263" s="4"/>
      <c r="E263" s="5"/>
      <c r="F263" s="9" t="s">
        <v>324</v>
      </c>
      <c r="G263" s="7" t="s">
        <v>12</v>
      </c>
      <c r="H263" s="7" t="s">
        <v>13</v>
      </c>
      <c r="J263" t="s">
        <v>15</v>
      </c>
      <c r="K263" t="str">
        <f t="shared" si="3"/>
        <v>TS-UD-COH-GAM-001test_004_mass_changes_flag_for_review</v>
      </c>
    </row>
    <row r="264" spans="1:11" ht="31.2" thickBot="1">
      <c r="A264" s="4" t="s">
        <v>322</v>
      </c>
      <c r="B264" s="4" t="s">
        <v>230</v>
      </c>
      <c r="C264" s="4" t="s">
        <v>328</v>
      </c>
      <c r="D264" s="4"/>
      <c r="E264" s="5"/>
      <c r="F264" s="9" t="s">
        <v>324</v>
      </c>
      <c r="G264" s="7" t="s">
        <v>12</v>
      </c>
      <c r="H264" s="7" t="s">
        <v>13</v>
      </c>
      <c r="J264" t="s">
        <v>15</v>
      </c>
      <c r="K264" t="str">
        <f t="shared" si="3"/>
        <v>TS-UD-COH-GAM-001test_005_detect_resolve_reintroduce_4_times</v>
      </c>
    </row>
    <row r="265" spans="1:11" ht="31.2" thickBot="1">
      <c r="A265" s="4" t="s">
        <v>322</v>
      </c>
      <c r="B265" s="4" t="s">
        <v>230</v>
      </c>
      <c r="C265" s="4" t="s">
        <v>329</v>
      </c>
      <c r="D265" s="4"/>
      <c r="E265" s="5"/>
      <c r="F265" s="9" t="s">
        <v>324</v>
      </c>
      <c r="G265" s="7" t="s">
        <v>12</v>
      </c>
      <c r="H265" s="7" t="s">
        <v>13</v>
      </c>
      <c r="J265" t="s">
        <v>15</v>
      </c>
      <c r="K265" t="str">
        <f t="shared" si="3"/>
        <v>TS-UD-COH-GAM-001test_006_no_violation_2_times</v>
      </c>
    </row>
    <row r="266" spans="1:11" ht="31.2" thickBot="1">
      <c r="A266" s="4" t="s">
        <v>322</v>
      </c>
      <c r="B266" s="4" t="s">
        <v>230</v>
      </c>
      <c r="C266" s="4" t="s">
        <v>330</v>
      </c>
      <c r="D266" s="4"/>
      <c r="E266" s="5"/>
      <c r="F266" s="9" t="s">
        <v>324</v>
      </c>
      <c r="G266" s="7" t="s">
        <v>12</v>
      </c>
      <c r="H266" s="7" t="s">
        <v>13</v>
      </c>
      <c r="J266" t="s">
        <v>15</v>
      </c>
      <c r="K266" t="str">
        <f t="shared" si="3"/>
        <v>TS-UD-COH-GAM-001test_007_hash_comparison_same_content</v>
      </c>
    </row>
    <row r="267" spans="1:11" ht="31.2" thickBot="1">
      <c r="A267" s="4" t="s">
        <v>322</v>
      </c>
      <c r="B267" s="4" t="s">
        <v>230</v>
      </c>
      <c r="C267" s="4" t="s">
        <v>331</v>
      </c>
      <c r="D267" s="4"/>
      <c r="E267" s="5"/>
      <c r="F267" s="9" t="s">
        <v>324</v>
      </c>
      <c r="G267" s="7" t="s">
        <v>12</v>
      </c>
      <c r="H267" s="7" t="s">
        <v>13</v>
      </c>
      <c r="J267" t="s">
        <v>15</v>
      </c>
      <c r="K267" t="str">
        <f t="shared" si="3"/>
        <v>TS-UD-COH-GAM-001test_008_penalty_minus_5_points</v>
      </c>
    </row>
    <row r="268" spans="1:11" ht="31.2" thickBot="1">
      <c r="A268" s="4" t="s">
        <v>322</v>
      </c>
      <c r="B268" s="4" t="s">
        <v>230</v>
      </c>
      <c r="C268" s="4" t="s">
        <v>332</v>
      </c>
      <c r="D268" s="4"/>
      <c r="E268" s="5"/>
      <c r="F268" s="9" t="s">
        <v>324</v>
      </c>
      <c r="G268" s="7" t="s">
        <v>12</v>
      </c>
      <c r="H268" s="7" t="s">
        <v>13</v>
      </c>
      <c r="J268" t="s">
        <v>15</v>
      </c>
      <c r="K268" t="str">
        <f t="shared" si="3"/>
        <v>TS-UD-COH-GAM-001test_009_detect_95_percent_3_docs</v>
      </c>
    </row>
    <row r="269" spans="1:11" ht="31.2" thickBot="1">
      <c r="A269" s="4" t="s">
        <v>322</v>
      </c>
      <c r="B269" s="4" t="s">
        <v>230</v>
      </c>
      <c r="C269" s="4" t="s">
        <v>333</v>
      </c>
      <c r="D269" s="4"/>
      <c r="E269" s="5"/>
      <c r="F269" s="9" t="s">
        <v>324</v>
      </c>
      <c r="G269" s="7" t="s">
        <v>12</v>
      </c>
      <c r="H269" s="7" t="s">
        <v>13</v>
      </c>
      <c r="J269" t="s">
        <v>15</v>
      </c>
      <c r="K269" t="str">
        <f t="shared" si="3"/>
        <v>TS-UD-COH-GAM-001test_010_no_violation_95_percent_50_docs</v>
      </c>
    </row>
    <row r="270" spans="1:11" ht="31.2" thickBot="1">
      <c r="A270" s="4" t="s">
        <v>322</v>
      </c>
      <c r="B270" s="4" t="s">
        <v>230</v>
      </c>
      <c r="C270" s="4" t="s">
        <v>334</v>
      </c>
      <c r="D270" s="4"/>
      <c r="E270" s="5"/>
      <c r="F270" s="9" t="s">
        <v>324</v>
      </c>
      <c r="G270" s="7" t="s">
        <v>12</v>
      </c>
      <c r="H270" s="7" t="s">
        <v>13</v>
      </c>
      <c r="J270" t="s">
        <v>15</v>
      </c>
      <c r="K270" t="str">
        <f t="shared" si="3"/>
        <v>TS-UD-COH-GAM-001test_011_threshold_90_percent_5_docs</v>
      </c>
    </row>
    <row r="271" spans="1:11" ht="31.2" thickBot="1">
      <c r="A271" s="4" t="s">
        <v>322</v>
      </c>
      <c r="B271" s="4" t="s">
        <v>230</v>
      </c>
      <c r="C271" s="4" t="s">
        <v>335</v>
      </c>
      <c r="D271" s="4"/>
      <c r="E271" s="5"/>
      <c r="F271" s="9" t="s">
        <v>324</v>
      </c>
      <c r="G271" s="7" t="s">
        <v>12</v>
      </c>
      <c r="H271" s="7" t="s">
        <v>13</v>
      </c>
      <c r="J271" t="s">
        <v>15</v>
      </c>
      <c r="K271" t="str">
        <f t="shared" si="3"/>
        <v>TS-UD-COH-GAM-001test_012_require_audit_action</v>
      </c>
    </row>
    <row r="272" spans="1:11" ht="31.2" thickBot="1">
      <c r="A272" s="4" t="s">
        <v>322</v>
      </c>
      <c r="B272" s="4" t="s">
        <v>230</v>
      </c>
      <c r="C272" s="4" t="s">
        <v>336</v>
      </c>
      <c r="D272" s="4"/>
      <c r="E272" s="5"/>
      <c r="F272" s="9" t="s">
        <v>324</v>
      </c>
      <c r="G272" s="7" t="s">
        <v>12</v>
      </c>
      <c r="H272" s="7" t="s">
        <v>13</v>
      </c>
      <c r="J272" t="s">
        <v>15</v>
      </c>
      <c r="K272" t="str">
        <f t="shared" si="3"/>
        <v>TS-UD-COH-GAM-001test_013_detect_weight_change_25_percent</v>
      </c>
    </row>
    <row r="273" spans="1:11" ht="31.2" thickBot="1">
      <c r="A273" s="4" t="s">
        <v>322</v>
      </c>
      <c r="B273" s="4" t="s">
        <v>230</v>
      </c>
      <c r="C273" s="4" t="s">
        <v>337</v>
      </c>
      <c r="D273" s="4"/>
      <c r="E273" s="5"/>
      <c r="F273" s="9" t="s">
        <v>324</v>
      </c>
      <c r="G273" s="7" t="s">
        <v>12</v>
      </c>
      <c r="H273" s="7" t="s">
        <v>13</v>
      </c>
      <c r="J273" t="s">
        <v>15</v>
      </c>
      <c r="K273" t="str">
        <f t="shared" si="3"/>
        <v>TS-UD-COH-GAM-001test_014_no_violation_change_15_percent</v>
      </c>
    </row>
    <row r="274" spans="1:11" ht="31.2" thickBot="1">
      <c r="A274" s="4" t="s">
        <v>322</v>
      </c>
      <c r="B274" s="4" t="s">
        <v>230</v>
      </c>
      <c r="C274" s="4" t="s">
        <v>338</v>
      </c>
      <c r="D274" s="4"/>
      <c r="E274" s="5"/>
      <c r="F274" s="9" t="s">
        <v>324</v>
      </c>
      <c r="G274" s="7" t="s">
        <v>12</v>
      </c>
      <c r="H274" s="7" t="s">
        <v>13</v>
      </c>
      <c r="J274" t="s">
        <v>15</v>
      </c>
      <c r="K274" t="str">
        <f t="shared" si="3"/>
        <v>TS-UD-COH-GAM-001test_015_24h_window_tracking</v>
      </c>
    </row>
    <row r="275" spans="1:11" ht="31.2" thickBot="1">
      <c r="A275" s="4" t="s">
        <v>322</v>
      </c>
      <c r="B275" s="4" t="s">
        <v>230</v>
      </c>
      <c r="C275" s="4" t="s">
        <v>339</v>
      </c>
      <c r="D275" s="4"/>
      <c r="E275" s="5"/>
      <c r="F275" s="9" t="s">
        <v>324</v>
      </c>
      <c r="G275" s="7" t="s">
        <v>12</v>
      </c>
      <c r="H275" s="7" t="s">
        <v>13</v>
      </c>
      <c r="J275" t="s">
        <v>15</v>
      </c>
      <c r="K275" t="str">
        <f t="shared" si="3"/>
        <v>TS-UD-COH-GAM-001test_016_notify_admin_action</v>
      </c>
    </row>
    <row r="276" spans="1:11" ht="31.2" thickBot="1">
      <c r="A276" s="4" t="s">
        <v>340</v>
      </c>
      <c r="B276" s="4" t="s">
        <v>230</v>
      </c>
      <c r="C276" s="4" t="s">
        <v>142</v>
      </c>
      <c r="D276" s="4"/>
      <c r="E276" s="5"/>
      <c r="F276" s="2"/>
      <c r="J276" t="s">
        <v>15</v>
      </c>
      <c r="K276" t="str">
        <f t="shared" si="3"/>
        <v>TS-UD-COH-ALR-001Tests not individually listed</v>
      </c>
    </row>
    <row r="277" spans="1:11" ht="31.2" thickBot="1">
      <c r="A277" s="4" t="s">
        <v>341</v>
      </c>
      <c r="B277" s="4" t="s">
        <v>342</v>
      </c>
      <c r="C277" s="4" t="s">
        <v>343</v>
      </c>
      <c r="D277" s="4"/>
      <c r="E277" s="5"/>
      <c r="F277" s="9" t="s">
        <v>344</v>
      </c>
      <c r="G277" s="7" t="s">
        <v>12</v>
      </c>
      <c r="H277" s="7" t="s">
        <v>13</v>
      </c>
      <c r="I277" t="s">
        <v>345</v>
      </c>
      <c r="J277" t="s">
        <v>15</v>
      </c>
      <c r="K277" t="str">
        <f t="shared" si="3"/>
        <v>TS-UD-PRJ-WBS-001test_001_wbs_item_creation_all_fields</v>
      </c>
    </row>
    <row r="278" spans="1:11" ht="31.2" thickBot="1">
      <c r="A278" s="4" t="s">
        <v>341</v>
      </c>
      <c r="B278" s="4" t="s">
        <v>342</v>
      </c>
      <c r="C278" s="4" t="s">
        <v>346</v>
      </c>
      <c r="D278" s="4"/>
      <c r="E278" s="5"/>
      <c r="F278" s="9" t="s">
        <v>344</v>
      </c>
      <c r="G278" s="7" t="s">
        <v>12</v>
      </c>
      <c r="H278" s="7" t="s">
        <v>13</v>
      </c>
      <c r="J278" t="s">
        <v>15</v>
      </c>
      <c r="K278" t="str">
        <f t="shared" si="3"/>
        <v>TS-UD-PRJ-WBS-001test_002_wbs_item_creation_minimum_fields</v>
      </c>
    </row>
    <row r="279" spans="1:11" ht="31.2" thickBot="1">
      <c r="A279" s="4" t="s">
        <v>341</v>
      </c>
      <c r="B279" s="4" t="s">
        <v>342</v>
      </c>
      <c r="C279" s="4" t="s">
        <v>347</v>
      </c>
      <c r="D279" s="4"/>
      <c r="E279" s="5"/>
      <c r="F279" s="9" t="s">
        <v>344</v>
      </c>
      <c r="G279" s="7" t="s">
        <v>12</v>
      </c>
      <c r="H279" s="7" t="s">
        <v>13</v>
      </c>
      <c r="J279" t="s">
        <v>15</v>
      </c>
      <c r="K279" t="str">
        <f t="shared" si="3"/>
        <v>TS-UD-PRJ-WBS-001test_003_wbs_item_fails_without_code</v>
      </c>
    </row>
    <row r="280" spans="1:11" ht="31.2" thickBot="1">
      <c r="A280" s="4" t="s">
        <v>341</v>
      </c>
      <c r="B280" s="4" t="s">
        <v>342</v>
      </c>
      <c r="C280" s="4" t="s">
        <v>348</v>
      </c>
      <c r="D280" s="4"/>
      <c r="E280" s="5"/>
      <c r="F280" s="9" t="s">
        <v>344</v>
      </c>
      <c r="G280" s="7" t="s">
        <v>12</v>
      </c>
      <c r="H280" s="7" t="s">
        <v>13</v>
      </c>
      <c r="J280" t="s">
        <v>15</v>
      </c>
      <c r="K280" t="str">
        <f t="shared" si="3"/>
        <v>TS-UD-PRJ-WBS-001test_004_wbs_item_fails_without_name</v>
      </c>
    </row>
    <row r="281" spans="1:11" ht="31.2" thickBot="1">
      <c r="A281" s="4" t="s">
        <v>341</v>
      </c>
      <c r="B281" s="4" t="s">
        <v>342</v>
      </c>
      <c r="C281" s="4" t="s">
        <v>349</v>
      </c>
      <c r="D281" s="4"/>
      <c r="E281" s="5"/>
      <c r="F281" s="9" t="s">
        <v>344</v>
      </c>
      <c r="G281" s="7" t="s">
        <v>12</v>
      </c>
      <c r="H281" s="7" t="s">
        <v>13</v>
      </c>
      <c r="J281" t="s">
        <v>15</v>
      </c>
      <c r="K281" t="str">
        <f t="shared" ref="K281:K331" si="4">CONCATENATE(A281,C281)</f>
        <v>TS-UD-PRJ-WBS-001test_005_wbs_item_fails_invalid_level</v>
      </c>
    </row>
    <row r="282" spans="1:11" ht="31.2" thickBot="1">
      <c r="A282" s="4" t="s">
        <v>341</v>
      </c>
      <c r="B282" s="4" t="s">
        <v>342</v>
      </c>
      <c r="C282" s="4" t="s">
        <v>350</v>
      </c>
      <c r="D282" s="4"/>
      <c r="E282" s="5"/>
      <c r="F282" s="9" t="s">
        <v>344</v>
      </c>
      <c r="G282" s="7" t="s">
        <v>12</v>
      </c>
      <c r="H282" s="7" t="s">
        <v>13</v>
      </c>
      <c r="J282" t="s">
        <v>15</v>
      </c>
      <c r="K282" t="str">
        <f t="shared" si="4"/>
        <v>TS-UD-PRJ-WBS-001test_006_wbs_item_immutability</v>
      </c>
    </row>
    <row r="283" spans="1:11" ht="31.2" thickBot="1">
      <c r="A283" s="4" t="s">
        <v>341</v>
      </c>
      <c r="B283" s="4" t="s">
        <v>342</v>
      </c>
      <c r="C283" s="4" t="s">
        <v>351</v>
      </c>
      <c r="D283" s="4"/>
      <c r="E283" s="5"/>
      <c r="F283" s="9" t="s">
        <v>344</v>
      </c>
      <c r="G283" s="7" t="s">
        <v>12</v>
      </c>
      <c r="H283" s="7" t="s">
        <v>13</v>
      </c>
      <c r="J283" t="s">
        <v>15</v>
      </c>
      <c r="K283" t="str">
        <f t="shared" si="4"/>
        <v>TS-UD-PRJ-WBS-001test_007_wbs_code_format_1</v>
      </c>
    </row>
    <row r="284" spans="1:11" ht="31.2" thickBot="1">
      <c r="A284" s="4" t="s">
        <v>341</v>
      </c>
      <c r="B284" s="4" t="s">
        <v>342</v>
      </c>
      <c r="C284" s="4" t="s">
        <v>352</v>
      </c>
      <c r="D284" s="4"/>
      <c r="E284" s="5"/>
      <c r="F284" s="9" t="s">
        <v>344</v>
      </c>
      <c r="G284" s="7" t="s">
        <v>12</v>
      </c>
      <c r="H284" s="7" t="s">
        <v>13</v>
      </c>
      <c r="J284" t="s">
        <v>15</v>
      </c>
      <c r="K284" t="str">
        <f t="shared" si="4"/>
        <v>TS-UD-PRJ-WBS-001test_008_wbs_code_format_1_1</v>
      </c>
    </row>
    <row r="285" spans="1:11" ht="31.2" thickBot="1">
      <c r="A285" s="4" t="s">
        <v>341</v>
      </c>
      <c r="B285" s="4" t="s">
        <v>342</v>
      </c>
      <c r="C285" s="4" t="s">
        <v>353</v>
      </c>
      <c r="D285" s="4"/>
      <c r="E285" s="5"/>
      <c r="F285" s="9" t="s">
        <v>344</v>
      </c>
      <c r="G285" s="7" t="s">
        <v>12</v>
      </c>
      <c r="H285" s="7" t="s">
        <v>13</v>
      </c>
      <c r="J285" t="s">
        <v>15</v>
      </c>
      <c r="K285" t="str">
        <f t="shared" si="4"/>
        <v>TS-UD-PRJ-WBS-001test_009_wbs_code_format_1_1_1</v>
      </c>
    </row>
    <row r="286" spans="1:11" ht="31.2" thickBot="1">
      <c r="A286" s="4" t="s">
        <v>341</v>
      </c>
      <c r="B286" s="4" t="s">
        <v>342</v>
      </c>
      <c r="C286" s="4" t="s">
        <v>354</v>
      </c>
      <c r="D286" s="4"/>
      <c r="E286" s="5"/>
      <c r="F286" s="9" t="s">
        <v>344</v>
      </c>
      <c r="G286" s="7" t="s">
        <v>12</v>
      </c>
      <c r="H286" s="7" t="s">
        <v>13</v>
      </c>
      <c r="J286" t="s">
        <v>15</v>
      </c>
      <c r="K286" t="str">
        <f t="shared" si="4"/>
        <v>TS-UD-PRJ-WBS-001test_010_wbs_code_format_1_1_1_1</v>
      </c>
    </row>
    <row r="287" spans="1:11" ht="31.2" thickBot="1">
      <c r="A287" s="4" t="s">
        <v>341</v>
      </c>
      <c r="B287" s="4" t="s">
        <v>342</v>
      </c>
      <c r="C287" s="4" t="s">
        <v>355</v>
      </c>
      <c r="D287" s="4"/>
      <c r="E287" s="5"/>
      <c r="F287" s="9" t="s">
        <v>344</v>
      </c>
      <c r="G287" s="7" t="s">
        <v>12</v>
      </c>
      <c r="H287" s="7" t="s">
        <v>13</v>
      </c>
      <c r="J287" t="s">
        <v>15</v>
      </c>
      <c r="K287" t="str">
        <f t="shared" si="4"/>
        <v>TS-UD-PRJ-WBS-001test_011_wbs_code_invalid_format_rejected</v>
      </c>
    </row>
    <row r="288" spans="1:11" ht="31.2" thickBot="1">
      <c r="A288" s="4" t="s">
        <v>341</v>
      </c>
      <c r="B288" s="4" t="s">
        <v>342</v>
      </c>
      <c r="C288" s="4" t="s">
        <v>356</v>
      </c>
      <c r="D288" s="4"/>
      <c r="E288" s="5"/>
      <c r="F288" s="9" t="s">
        <v>344</v>
      </c>
      <c r="G288" s="7" t="s">
        <v>12</v>
      </c>
      <c r="H288" s="7" t="s">
        <v>13</v>
      </c>
      <c r="J288" t="s">
        <v>15</v>
      </c>
      <c r="K288" t="str">
        <f t="shared" si="4"/>
        <v>TS-UD-PRJ-WBS-001test_012_wbs_code_uniqueness_per_project</v>
      </c>
    </row>
    <row r="289" spans="1:11" ht="31.2" thickBot="1">
      <c r="A289" s="4" t="s">
        <v>341</v>
      </c>
      <c r="B289" s="4" t="s">
        <v>342</v>
      </c>
      <c r="C289" s="4" t="s">
        <v>357</v>
      </c>
      <c r="D289" s="4"/>
      <c r="E289" s="5"/>
      <c r="F289" s="9" t="s">
        <v>344</v>
      </c>
      <c r="G289" s="7" t="s">
        <v>12</v>
      </c>
      <c r="H289" s="7" t="s">
        <v>13</v>
      </c>
      <c r="J289" t="s">
        <v>15</v>
      </c>
      <c r="K289" t="str">
        <f t="shared" si="4"/>
        <v>TS-UD-PRJ-WBS-001test_013_wbs_level_1_valid</v>
      </c>
    </row>
    <row r="290" spans="1:11" ht="31.2" thickBot="1">
      <c r="A290" s="4" t="s">
        <v>341</v>
      </c>
      <c r="B290" s="4" t="s">
        <v>342</v>
      </c>
      <c r="C290" s="4" t="s">
        <v>358</v>
      </c>
      <c r="D290" s="4"/>
      <c r="E290" s="5"/>
      <c r="F290" s="9" t="s">
        <v>344</v>
      </c>
      <c r="G290" s="7" t="s">
        <v>12</v>
      </c>
      <c r="H290" s="7" t="s">
        <v>13</v>
      </c>
      <c r="J290" t="s">
        <v>15</v>
      </c>
      <c r="K290" t="str">
        <f t="shared" si="4"/>
        <v>TS-UD-PRJ-WBS-001test_014_wbs_level_4_valid</v>
      </c>
    </row>
    <row r="291" spans="1:11" ht="31.2" thickBot="1">
      <c r="A291" s="4" t="s">
        <v>341</v>
      </c>
      <c r="B291" s="4" t="s">
        <v>342</v>
      </c>
      <c r="C291" s="4" t="s">
        <v>359</v>
      </c>
      <c r="D291" s="4"/>
      <c r="E291" s="5"/>
      <c r="F291" s="9" t="s">
        <v>344</v>
      </c>
      <c r="G291" s="7" t="s">
        <v>12</v>
      </c>
      <c r="H291" s="7" t="s">
        <v>13</v>
      </c>
      <c r="J291" t="s">
        <v>15</v>
      </c>
      <c r="K291" t="str">
        <f t="shared" si="4"/>
        <v>TS-UD-PRJ-WBS-001test_015_wbs_level_0_invalid</v>
      </c>
    </row>
    <row r="292" spans="1:11" ht="31.2" thickBot="1">
      <c r="A292" s="4" t="s">
        <v>341</v>
      </c>
      <c r="B292" s="4" t="s">
        <v>342</v>
      </c>
      <c r="C292" s="4" t="s">
        <v>360</v>
      </c>
      <c r="D292" s="4"/>
      <c r="E292" s="5"/>
      <c r="F292" s="9" t="s">
        <v>344</v>
      </c>
      <c r="G292" s="7" t="s">
        <v>12</v>
      </c>
      <c r="H292" s="7" t="s">
        <v>13</v>
      </c>
      <c r="J292" t="s">
        <v>15</v>
      </c>
      <c r="K292" t="str">
        <f t="shared" si="4"/>
        <v>TS-UD-PRJ-WBS-001test_016_wbs_level_5_invalid</v>
      </c>
    </row>
    <row r="293" spans="1:11" ht="31.2" thickBot="1">
      <c r="A293" s="4" t="s">
        <v>341</v>
      </c>
      <c r="B293" s="4" t="s">
        <v>342</v>
      </c>
      <c r="C293" s="4" t="s">
        <v>361</v>
      </c>
      <c r="D293" s="4"/>
      <c r="E293" s="5"/>
      <c r="F293" s="9" t="s">
        <v>344</v>
      </c>
      <c r="G293" s="7" t="s">
        <v>12</v>
      </c>
      <c r="H293" s="7" t="s">
        <v>13</v>
      </c>
      <c r="J293" t="s">
        <v>15</v>
      </c>
      <c r="K293" t="str">
        <f t="shared" si="4"/>
        <v>TS-UD-PRJ-WBS-001test_017_wbs_level_matches_code_depth</v>
      </c>
    </row>
    <row r="294" spans="1:11" ht="31.2" thickBot="1">
      <c r="A294" s="4" t="s">
        <v>341</v>
      </c>
      <c r="B294" s="4" t="s">
        <v>342</v>
      </c>
      <c r="C294" s="4" t="s">
        <v>362</v>
      </c>
      <c r="D294" s="4"/>
      <c r="E294" s="5"/>
      <c r="F294" s="9" t="s">
        <v>344</v>
      </c>
      <c r="G294" s="7" t="s">
        <v>12</v>
      </c>
      <c r="H294" s="7" t="s">
        <v>13</v>
      </c>
      <c r="J294" t="s">
        <v>15</v>
      </c>
      <c r="K294" t="str">
        <f t="shared" si="4"/>
        <v>TS-UD-PRJ-WBS-001test_018_wbs_level_parent_child_validation</v>
      </c>
    </row>
    <row r="295" spans="1:11" ht="31.2" thickBot="1">
      <c r="A295" s="4" t="s">
        <v>363</v>
      </c>
      <c r="B295" s="4" t="s">
        <v>342</v>
      </c>
      <c r="C295" s="4" t="s">
        <v>142</v>
      </c>
      <c r="D295" s="4"/>
      <c r="E295" s="5"/>
      <c r="F295" s="2"/>
      <c r="J295" t="s">
        <v>15</v>
      </c>
      <c r="K295" t="str">
        <f t="shared" si="4"/>
        <v>TS-UD-PRJ-WBS-002Tests not individually listed</v>
      </c>
    </row>
    <row r="296" spans="1:11" ht="31.2" thickBot="1">
      <c r="A296" s="4" t="s">
        <v>364</v>
      </c>
      <c r="B296" s="4" t="s">
        <v>342</v>
      </c>
      <c r="C296" s="4" t="s">
        <v>142</v>
      </c>
      <c r="D296" s="4"/>
      <c r="E296" s="5"/>
      <c r="F296" s="2"/>
      <c r="J296" t="s">
        <v>15</v>
      </c>
      <c r="K296" t="str">
        <f t="shared" si="4"/>
        <v>TS-UD-PRJ-WBS-003Tests not individually listed</v>
      </c>
    </row>
    <row r="297" spans="1:11" ht="31.2" thickBot="1">
      <c r="A297" s="4" t="s">
        <v>365</v>
      </c>
      <c r="B297" s="4" t="s">
        <v>342</v>
      </c>
      <c r="C297" s="4" t="s">
        <v>142</v>
      </c>
      <c r="D297" s="4"/>
      <c r="E297" s="5"/>
      <c r="F297" s="2"/>
      <c r="J297" t="s">
        <v>15</v>
      </c>
      <c r="K297" t="str">
        <f t="shared" si="4"/>
        <v>TS-UD-PRJ-WBS-004Tests not individually listed</v>
      </c>
    </row>
    <row r="298" spans="1:11" ht="31.2" thickBot="1">
      <c r="A298" s="4" t="s">
        <v>366</v>
      </c>
      <c r="B298" s="4" t="s">
        <v>342</v>
      </c>
      <c r="C298" s="4" t="s">
        <v>142</v>
      </c>
      <c r="D298" s="4"/>
      <c r="E298" s="5"/>
      <c r="F298" s="2"/>
      <c r="J298" t="s">
        <v>15</v>
      </c>
      <c r="K298" t="str">
        <f t="shared" si="4"/>
        <v>TS-UD-PRJ-PRJ-001Tests not individually listed</v>
      </c>
    </row>
    <row r="299" spans="1:11" ht="31.2" thickBot="1">
      <c r="A299" s="4" t="s">
        <v>367</v>
      </c>
      <c r="B299" s="4" t="s">
        <v>342</v>
      </c>
      <c r="C299" s="4" t="s">
        <v>142</v>
      </c>
      <c r="D299" s="4"/>
      <c r="E299" s="5"/>
      <c r="F299" s="2"/>
      <c r="J299" t="s">
        <v>15</v>
      </c>
      <c r="K299" t="str">
        <f t="shared" si="4"/>
        <v>TS-UD-PRJ-DTO-001Tests not individually listed</v>
      </c>
    </row>
    <row r="300" spans="1:11" ht="31.2" thickBot="1">
      <c r="A300" s="4" t="s">
        <v>368</v>
      </c>
      <c r="B300" s="4" t="s">
        <v>369</v>
      </c>
      <c r="C300" s="4" t="s">
        <v>142</v>
      </c>
      <c r="D300" s="4"/>
      <c r="E300" s="5"/>
      <c r="F300" s="2"/>
      <c r="J300" t="s">
        <v>15</v>
      </c>
      <c r="K300" t="str">
        <f t="shared" si="4"/>
        <v>TS-UD-PROC-BOM-001Tests not individually listed</v>
      </c>
    </row>
    <row r="301" spans="1:11" ht="31.2" thickBot="1">
      <c r="A301" s="4" t="s">
        <v>370</v>
      </c>
      <c r="B301" s="4" t="s">
        <v>369</v>
      </c>
      <c r="C301" s="4" t="s">
        <v>142</v>
      </c>
      <c r="D301" s="4"/>
      <c r="E301" s="5"/>
      <c r="F301" s="2"/>
      <c r="J301" t="s">
        <v>15</v>
      </c>
      <c r="K301" t="str">
        <f t="shared" si="4"/>
        <v>TS-UD-PROC-BOM-002Tests not individually listed</v>
      </c>
    </row>
    <row r="302" spans="1:11" ht="31.2" thickBot="1">
      <c r="A302" s="4" t="s">
        <v>371</v>
      </c>
      <c r="B302" s="4" t="s">
        <v>369</v>
      </c>
      <c r="C302" s="4" t="s">
        <v>372</v>
      </c>
      <c r="D302" s="4"/>
      <c r="E302" s="5"/>
      <c r="F302" s="9" t="s">
        <v>373</v>
      </c>
      <c r="G302" s="7" t="s">
        <v>12</v>
      </c>
      <c r="H302" s="7" t="s">
        <v>13</v>
      </c>
      <c r="I302" t="s">
        <v>374</v>
      </c>
      <c r="J302" t="s">
        <v>15</v>
      </c>
      <c r="K302" t="str">
        <f t="shared" si="4"/>
        <v>TS-UD-PROC-LTM-001test_001_optimal_date_production_only</v>
      </c>
    </row>
    <row r="303" spans="1:11" ht="31.2" thickBot="1">
      <c r="A303" s="4" t="s">
        <v>371</v>
      </c>
      <c r="B303" s="4" t="s">
        <v>369</v>
      </c>
      <c r="C303" s="4" t="s">
        <v>375</v>
      </c>
      <c r="D303" s="4"/>
      <c r="E303" s="5"/>
      <c r="F303" s="9" t="s">
        <v>373</v>
      </c>
      <c r="G303" s="7" t="s">
        <v>12</v>
      </c>
      <c r="H303" s="7" t="s">
        <v>13</v>
      </c>
      <c r="J303" t="s">
        <v>15</v>
      </c>
      <c r="K303" t="str">
        <f t="shared" si="4"/>
        <v>TS-UD-PROC-LTM-001test_002_optimal_date_production_transit</v>
      </c>
    </row>
    <row r="304" spans="1:11" ht="31.2" thickBot="1">
      <c r="A304" s="4" t="s">
        <v>371</v>
      </c>
      <c r="B304" s="4" t="s">
        <v>369</v>
      </c>
      <c r="C304" s="4" t="s">
        <v>376</v>
      </c>
      <c r="D304" s="4"/>
      <c r="E304" s="5"/>
      <c r="F304" s="9" t="s">
        <v>373</v>
      </c>
      <c r="G304" s="7" t="s">
        <v>12</v>
      </c>
      <c r="H304" s="7" t="s">
        <v>13</v>
      </c>
      <c r="J304" t="s">
        <v>15</v>
      </c>
      <c r="K304" t="str">
        <f t="shared" si="4"/>
        <v>TS-UD-PROC-LTM-001test_003_optimal_date_production_transit_buffer</v>
      </c>
    </row>
    <row r="305" spans="1:11" ht="31.2" thickBot="1">
      <c r="A305" s="4" t="s">
        <v>371</v>
      </c>
      <c r="B305" s="4" t="s">
        <v>369</v>
      </c>
      <c r="C305" s="4" t="s">
        <v>377</v>
      </c>
      <c r="D305" s="4"/>
      <c r="E305" s="5"/>
      <c r="F305" s="9" t="s">
        <v>373</v>
      </c>
      <c r="G305" s="7" t="s">
        <v>12</v>
      </c>
      <c r="H305" s="7" t="s">
        <v>13</v>
      </c>
      <c r="J305" t="s">
        <v>15</v>
      </c>
      <c r="K305" t="str">
        <f t="shared" si="4"/>
        <v>TS-UD-PROC-LTM-001test_004_optimal_date_all_components</v>
      </c>
    </row>
    <row r="306" spans="1:11" ht="31.2" thickBot="1">
      <c r="A306" s="4" t="s">
        <v>371</v>
      </c>
      <c r="B306" s="4" t="s">
        <v>369</v>
      </c>
      <c r="C306" s="4" t="s">
        <v>378</v>
      </c>
      <c r="D306" s="4"/>
      <c r="E306" s="5"/>
      <c r="F306" s="9" t="s">
        <v>373</v>
      </c>
      <c r="G306" s="7" t="s">
        <v>12</v>
      </c>
      <c r="H306" s="7" t="s">
        <v>13</v>
      </c>
      <c r="J306" t="s">
        <v>15</v>
      </c>
      <c r="K306" t="str">
        <f t="shared" si="4"/>
        <v>TS-UD-PROC-LTM-001test_005_lead_time_breakdown_returned</v>
      </c>
    </row>
    <row r="307" spans="1:11" ht="31.2" thickBot="1">
      <c r="A307" s="4" t="s">
        <v>371</v>
      </c>
      <c r="B307" s="4" t="s">
        <v>369</v>
      </c>
      <c r="C307" s="4" t="s">
        <v>379</v>
      </c>
      <c r="D307" s="4"/>
      <c r="E307" s="5"/>
      <c r="F307" s="9" t="s">
        <v>373</v>
      </c>
      <c r="G307" s="7" t="s">
        <v>12</v>
      </c>
      <c r="H307" s="7" t="s">
        <v>13</v>
      </c>
      <c r="J307" t="s">
        <v>15</v>
      </c>
      <c r="K307" t="str">
        <f t="shared" si="4"/>
        <v>TS-UD-PROC-LTM-001test_006_required_on_site_calculation</v>
      </c>
    </row>
    <row r="308" spans="1:11" ht="31.2" thickBot="1">
      <c r="A308" s="4" t="s">
        <v>371</v>
      </c>
      <c r="B308" s="4" t="s">
        <v>369</v>
      </c>
      <c r="C308" s="4" t="s">
        <v>380</v>
      </c>
      <c r="D308" s="4"/>
      <c r="E308" s="5"/>
      <c r="F308" s="9" t="s">
        <v>373</v>
      </c>
      <c r="G308" s="7" t="s">
        <v>12</v>
      </c>
      <c r="H308" s="7" t="s">
        <v>13</v>
      </c>
      <c r="J308" t="s">
        <v>15</v>
      </c>
      <c r="K308" t="str">
        <f t="shared" si="4"/>
        <v>TS-UD-PROC-LTM-001test_007_business_days_calculation</v>
      </c>
    </row>
    <row r="309" spans="1:11" ht="31.2" thickBot="1">
      <c r="A309" s="4" t="s">
        <v>371</v>
      </c>
      <c r="B309" s="4" t="s">
        <v>369</v>
      </c>
      <c r="C309" s="4" t="s">
        <v>381</v>
      </c>
      <c r="D309" s="4"/>
      <c r="E309" s="5"/>
      <c r="F309" s="9" t="s">
        <v>373</v>
      </c>
      <c r="G309" s="7" t="s">
        <v>12</v>
      </c>
      <c r="H309" s="7" t="s">
        <v>13</v>
      </c>
      <c r="J309" t="s">
        <v>15</v>
      </c>
      <c r="K309" t="str">
        <f t="shared" si="4"/>
        <v>TS-UD-PROC-LTM-001test_008_weekend_exclusion</v>
      </c>
    </row>
    <row r="310" spans="1:11" ht="31.2" thickBot="1">
      <c r="A310" s="4" t="s">
        <v>371</v>
      </c>
      <c r="B310" s="4" t="s">
        <v>369</v>
      </c>
      <c r="C310" s="4" t="s">
        <v>382</v>
      </c>
      <c r="D310" s="4"/>
      <c r="E310" s="5"/>
      <c r="F310" s="9" t="s">
        <v>373</v>
      </c>
      <c r="G310" s="7" t="s">
        <v>12</v>
      </c>
      <c r="H310" s="7" t="s">
        <v>13</v>
      </c>
      <c r="J310" t="s">
        <v>15</v>
      </c>
      <c r="K310" t="str">
        <f t="shared" si="4"/>
        <v>TS-UD-PROC-LTM-001test_009_holiday_exclusion</v>
      </c>
    </row>
    <row r="311" spans="1:11" ht="31.2" thickBot="1">
      <c r="A311" s="4" t="s">
        <v>371</v>
      </c>
      <c r="B311" s="4" t="s">
        <v>369</v>
      </c>
      <c r="C311" s="4" t="s">
        <v>383</v>
      </c>
      <c r="D311" s="4"/>
      <c r="E311" s="5"/>
      <c r="F311" s="9" t="s">
        <v>373</v>
      </c>
      <c r="G311" s="7" t="s">
        <v>12</v>
      </c>
      <c r="H311" s="7" t="s">
        <v>13</v>
      </c>
      <c r="J311" t="s">
        <v>15</v>
      </c>
      <c r="K311" t="str">
        <f t="shared" si="4"/>
        <v>TS-UD-PROC-LTM-001test_010_delivery_on_weekend_adjusted</v>
      </c>
    </row>
    <row r="312" spans="1:11" ht="31.2" thickBot="1">
      <c r="A312" s="4" t="s">
        <v>371</v>
      </c>
      <c r="B312" s="4" t="s">
        <v>369</v>
      </c>
      <c r="C312" s="4" t="s">
        <v>384</v>
      </c>
      <c r="D312" s="4"/>
      <c r="E312" s="5"/>
      <c r="F312" s="9" t="s">
        <v>373</v>
      </c>
      <c r="G312" s="7" t="s">
        <v>12</v>
      </c>
      <c r="H312" s="7" t="s">
        <v>13</v>
      </c>
      <c r="J312" t="s">
        <v>15</v>
      </c>
      <c r="K312" t="str">
        <f t="shared" si="4"/>
        <v>TS-UD-PROC-LTM-001test_011_mixed_calendar_business_days</v>
      </c>
    </row>
    <row r="313" spans="1:11" ht="31.2" thickBot="1">
      <c r="A313" s="4" t="s">
        <v>371</v>
      </c>
      <c r="B313" s="4" t="s">
        <v>369</v>
      </c>
      <c r="C313" s="4" t="s">
        <v>385</v>
      </c>
      <c r="D313" s="4"/>
      <c r="E313" s="5"/>
      <c r="F313" s="9" t="s">
        <v>373</v>
      </c>
      <c r="G313" s="7" t="s">
        <v>12</v>
      </c>
      <c r="H313" s="7" t="s">
        <v>13</v>
      </c>
      <c r="J313" t="s">
        <v>15</v>
      </c>
      <c r="K313" t="str">
        <f t="shared" si="4"/>
        <v>TS-UD-PROC-LTM-001test_012_alert_r14_date_passed</v>
      </c>
    </row>
    <row r="314" spans="1:11" ht="31.2" thickBot="1">
      <c r="A314" s="4" t="s">
        <v>371</v>
      </c>
      <c r="B314" s="4" t="s">
        <v>369</v>
      </c>
      <c r="C314" s="4" t="s">
        <v>386</v>
      </c>
      <c r="D314" s="4"/>
      <c r="E314" s="5"/>
      <c r="F314" s="9" t="s">
        <v>373</v>
      </c>
      <c r="G314" s="7" t="s">
        <v>12</v>
      </c>
      <c r="H314" s="7" t="s">
        <v>13</v>
      </c>
      <c r="J314" t="s">
        <v>15</v>
      </c>
      <c r="K314" t="str">
        <f t="shared" si="4"/>
        <v>TS-UD-PROC-LTM-001test_013_alert_r14_tight_margin_3_days</v>
      </c>
    </row>
    <row r="315" spans="1:11" ht="31.2" thickBot="1">
      <c r="A315" s="4" t="s">
        <v>371</v>
      </c>
      <c r="B315" s="4" t="s">
        <v>369</v>
      </c>
      <c r="C315" s="4" t="s">
        <v>387</v>
      </c>
      <c r="D315" s="4"/>
      <c r="E315" s="5"/>
      <c r="F315" s="9" t="s">
        <v>373</v>
      </c>
      <c r="G315" s="7" t="s">
        <v>12</v>
      </c>
      <c r="H315" s="7" t="s">
        <v>13</v>
      </c>
      <c r="J315" t="s">
        <v>15</v>
      </c>
      <c r="K315" t="str">
        <f t="shared" si="4"/>
        <v>TS-UD-PROC-LTM-001test_014_alert_severity_critical_passed</v>
      </c>
    </row>
    <row r="316" spans="1:11" ht="31.2" thickBot="1">
      <c r="A316" s="4" t="s">
        <v>371</v>
      </c>
      <c r="B316" s="4" t="s">
        <v>369</v>
      </c>
      <c r="C316" s="4" t="s">
        <v>388</v>
      </c>
      <c r="D316" s="4"/>
      <c r="E316" s="5"/>
      <c r="F316" s="9" t="s">
        <v>373</v>
      </c>
      <c r="G316" s="7" t="s">
        <v>12</v>
      </c>
      <c r="H316" s="7" t="s">
        <v>13</v>
      </c>
      <c r="J316" t="s">
        <v>15</v>
      </c>
      <c r="K316" t="str">
        <f t="shared" si="4"/>
        <v>TS-UD-PROC-LTM-001test_015_alert_severity_warning_tight</v>
      </c>
    </row>
    <row r="317" spans="1:11" ht="31.2" thickBot="1">
      <c r="A317" s="4" t="s">
        <v>371</v>
      </c>
      <c r="B317" s="4" t="s">
        <v>369</v>
      </c>
      <c r="C317" s="4" t="s">
        <v>389</v>
      </c>
      <c r="D317" s="4"/>
      <c r="E317" s="5"/>
      <c r="F317" s="9" t="s">
        <v>373</v>
      </c>
      <c r="G317" s="7" t="s">
        <v>12</v>
      </c>
      <c r="H317" s="7" t="s">
        <v>13</v>
      </c>
      <c r="J317" t="s">
        <v>15</v>
      </c>
      <c r="K317" t="str">
        <f t="shared" si="4"/>
        <v>TS-UD-PROC-LTM-001test_016_no_alert_sufficient_margin</v>
      </c>
    </row>
    <row r="318" spans="1:11" ht="31.2" thickBot="1">
      <c r="A318" s="4" t="s">
        <v>390</v>
      </c>
      <c r="B318" s="4" t="s">
        <v>369</v>
      </c>
      <c r="C318" s="4" t="s">
        <v>391</v>
      </c>
      <c r="D318" s="4"/>
      <c r="E318" s="5"/>
      <c r="F318" s="9" t="s">
        <v>392</v>
      </c>
      <c r="G318" s="7" t="s">
        <v>12</v>
      </c>
      <c r="J318" t="s">
        <v>15</v>
      </c>
      <c r="K318" t="str">
        <f t="shared" si="4"/>
        <v>TS-UD-PROC-LTM-002test_001_exw_buyer_full_responsibility</v>
      </c>
    </row>
    <row r="319" spans="1:11" ht="31.2" thickBot="1">
      <c r="A319" s="4" t="s">
        <v>390</v>
      </c>
      <c r="B319" s="4" t="s">
        <v>369</v>
      </c>
      <c r="C319" s="4" t="s">
        <v>393</v>
      </c>
      <c r="D319" s="4"/>
      <c r="E319" s="5"/>
      <c r="F319" s="9" t="s">
        <v>392</v>
      </c>
      <c r="G319" s="7" t="s">
        <v>12</v>
      </c>
      <c r="J319" t="s">
        <v>15</v>
      </c>
      <c r="K319" t="str">
        <f t="shared" si="4"/>
        <v>TS-UD-PROC-LTM-002test_002_exw_transit_time_included</v>
      </c>
    </row>
    <row r="320" spans="1:11" ht="31.2" thickBot="1">
      <c r="A320" s="4" t="s">
        <v>390</v>
      </c>
      <c r="B320" s="4" t="s">
        <v>369</v>
      </c>
      <c r="C320" s="4" t="s">
        <v>394</v>
      </c>
      <c r="D320" s="4"/>
      <c r="E320" s="5"/>
      <c r="F320" s="9" t="s">
        <v>392</v>
      </c>
      <c r="G320" s="7" t="s">
        <v>12</v>
      </c>
      <c r="J320" t="s">
        <v>15</v>
      </c>
      <c r="K320" t="str">
        <f t="shared" si="4"/>
        <v>TS-UD-PROC-LTM-002test_003_exw_customs_included</v>
      </c>
    </row>
    <row r="321" spans="1:11" ht="31.2" thickBot="1">
      <c r="A321" s="4" t="s">
        <v>390</v>
      </c>
      <c r="B321" s="4" t="s">
        <v>369</v>
      </c>
      <c r="C321" s="4" t="s">
        <v>395</v>
      </c>
      <c r="D321" s="4"/>
      <c r="E321" s="5"/>
      <c r="F321" s="9" t="s">
        <v>392</v>
      </c>
      <c r="G321" s="7" t="s">
        <v>12</v>
      </c>
      <c r="J321" t="s">
        <v>15</v>
      </c>
      <c r="K321" t="str">
        <f t="shared" si="4"/>
        <v>TS-UD-PROC-LTM-002test_004_fob_shared_responsibility</v>
      </c>
    </row>
    <row r="322" spans="1:11" ht="31.2" thickBot="1">
      <c r="A322" s="4" t="s">
        <v>390</v>
      </c>
      <c r="B322" s="4" t="s">
        <v>369</v>
      </c>
      <c r="C322" s="4" t="s">
        <v>396</v>
      </c>
      <c r="D322" s="4"/>
      <c r="E322" s="5"/>
      <c r="F322" s="9" t="s">
        <v>392</v>
      </c>
      <c r="G322" s="7" t="s">
        <v>12</v>
      </c>
      <c r="J322" t="s">
        <v>15</v>
      </c>
      <c r="K322" t="str">
        <f t="shared" si="4"/>
        <v>TS-UD-PROC-LTM-002test_005_fob_port_handover</v>
      </c>
    </row>
    <row r="323" spans="1:11" ht="31.2" thickBot="1">
      <c r="A323" s="4" t="s">
        <v>390</v>
      </c>
      <c r="B323" s="4" t="s">
        <v>369</v>
      </c>
      <c r="C323" s="4" t="s">
        <v>397</v>
      </c>
      <c r="D323" s="4"/>
      <c r="E323" s="5"/>
      <c r="F323" s="9" t="s">
        <v>392</v>
      </c>
      <c r="G323" s="7" t="s">
        <v>12</v>
      </c>
      <c r="J323" t="s">
        <v>15</v>
      </c>
      <c r="K323" t="str">
        <f t="shared" si="4"/>
        <v>TS-UD-PROC-LTM-002test_006_fob_insurance_buyer</v>
      </c>
    </row>
    <row r="324" spans="1:11" ht="31.2" thickBot="1">
      <c r="A324" s="4" t="s">
        <v>390</v>
      </c>
      <c r="B324" s="4" t="s">
        <v>369</v>
      </c>
      <c r="C324" s="4" t="s">
        <v>398</v>
      </c>
      <c r="D324" s="4"/>
      <c r="E324" s="5"/>
      <c r="F324" s="9" t="s">
        <v>392</v>
      </c>
      <c r="G324" s="7" t="s">
        <v>12</v>
      </c>
      <c r="J324" t="s">
        <v>15</v>
      </c>
      <c r="K324" t="str">
        <f t="shared" si="4"/>
        <v>TS-UD-PROC-LTM-002test_007_cif_seller_insurance</v>
      </c>
    </row>
    <row r="325" spans="1:11" ht="31.2" thickBot="1">
      <c r="A325" s="4" t="s">
        <v>390</v>
      </c>
      <c r="B325" s="4" t="s">
        <v>369</v>
      </c>
      <c r="C325" s="4" t="s">
        <v>399</v>
      </c>
      <c r="D325" s="4"/>
      <c r="E325" s="5"/>
      <c r="F325" s="9" t="s">
        <v>392</v>
      </c>
      <c r="G325" s="7" t="s">
        <v>12</v>
      </c>
      <c r="J325" t="s">
        <v>15</v>
      </c>
      <c r="K325" t="str">
        <f t="shared" si="4"/>
        <v>TS-UD-PROC-LTM-002test_008_cif_port_to_port</v>
      </c>
    </row>
    <row r="326" spans="1:11" ht="31.2" thickBot="1">
      <c r="A326" s="4" t="s">
        <v>390</v>
      </c>
      <c r="B326" s="4" t="s">
        <v>369</v>
      </c>
      <c r="C326" s="4" t="s">
        <v>400</v>
      </c>
      <c r="D326" s="4"/>
      <c r="E326" s="5"/>
      <c r="F326" s="9" t="s">
        <v>392</v>
      </c>
      <c r="G326" s="7" t="s">
        <v>12</v>
      </c>
      <c r="J326" t="s">
        <v>15</v>
      </c>
      <c r="K326" t="str">
        <f t="shared" si="4"/>
        <v>TS-UD-PROC-LTM-002test_009_cif_customs_buyer</v>
      </c>
    </row>
    <row r="327" spans="1:11" ht="31.2" thickBot="1">
      <c r="A327" s="4" t="s">
        <v>390</v>
      </c>
      <c r="B327" s="4" t="s">
        <v>369</v>
      </c>
      <c r="C327" s="4" t="s">
        <v>401</v>
      </c>
      <c r="D327" s="4"/>
      <c r="E327" s="5"/>
      <c r="F327" s="9" t="s">
        <v>392</v>
      </c>
      <c r="G327" s="7" t="s">
        <v>12</v>
      </c>
      <c r="J327" t="s">
        <v>15</v>
      </c>
      <c r="K327" t="str">
        <f t="shared" si="4"/>
        <v>TS-UD-PROC-LTM-002test_010_ddp_seller_full_responsibility</v>
      </c>
    </row>
    <row r="328" spans="1:11" ht="31.2" thickBot="1">
      <c r="A328" s="4" t="s">
        <v>390</v>
      </c>
      <c r="B328" s="4" t="s">
        <v>369</v>
      </c>
      <c r="C328" s="4" t="s">
        <v>402</v>
      </c>
      <c r="D328" s="4"/>
      <c r="E328" s="5"/>
      <c r="F328" s="9" t="s">
        <v>392</v>
      </c>
      <c r="G328" s="7" t="s">
        <v>12</v>
      </c>
      <c r="J328" t="s">
        <v>15</v>
      </c>
      <c r="K328" t="str">
        <f t="shared" si="4"/>
        <v>TS-UD-PROC-LTM-002test_011_ddp_no_customs_buyer</v>
      </c>
    </row>
    <row r="329" spans="1:11" ht="31.2" thickBot="1">
      <c r="A329" s="4" t="s">
        <v>390</v>
      </c>
      <c r="B329" s="4" t="s">
        <v>369</v>
      </c>
      <c r="C329" s="4" t="s">
        <v>403</v>
      </c>
      <c r="D329" s="4"/>
      <c r="E329" s="5"/>
      <c r="F329" s="9" t="s">
        <v>392</v>
      </c>
      <c r="G329" s="7" t="s">
        <v>12</v>
      </c>
      <c r="J329" t="s">
        <v>15</v>
      </c>
      <c r="K329" t="str">
        <f t="shared" si="4"/>
        <v>TS-UD-PROC-LTM-002test_012_ddp_door_to_door</v>
      </c>
    </row>
    <row r="330" spans="1:11" ht="31.2" thickBot="1">
      <c r="A330" s="4" t="s">
        <v>390</v>
      </c>
      <c r="B330" s="4" t="s">
        <v>369</v>
      </c>
      <c r="C330" s="4" t="s">
        <v>404</v>
      </c>
      <c r="D330" s="4"/>
      <c r="E330" s="5"/>
      <c r="F330" s="9" t="s">
        <v>392</v>
      </c>
      <c r="G330" s="7" t="s">
        <v>12</v>
      </c>
      <c r="J330" t="s">
        <v>15</v>
      </c>
      <c r="K330" t="str">
        <f t="shared" si="4"/>
        <v>TS-UD-PROC-LTM-002test_013_incoterm_comparison_same_route</v>
      </c>
    </row>
    <row r="331" spans="1:11" ht="31.2" thickBot="1">
      <c r="A331" s="4" t="s">
        <v>390</v>
      </c>
      <c r="B331" s="4" t="s">
        <v>369</v>
      </c>
      <c r="C331" s="4" t="s">
        <v>405</v>
      </c>
      <c r="D331" s="4"/>
      <c r="E331" s="5"/>
      <c r="F331" s="9" t="s">
        <v>392</v>
      </c>
      <c r="G331" s="7" t="s">
        <v>12</v>
      </c>
      <c r="J331" t="s">
        <v>15</v>
      </c>
      <c r="K331" t="str">
        <f t="shared" si="4"/>
        <v>TS-UD-PROC-LTM-002test_014_incoterm_impact_on_lead_time</v>
      </c>
    </row>
    <row r="332" spans="1:11" ht="31.2" thickBot="1">
      <c r="A332" s="4" t="s">
        <v>406</v>
      </c>
      <c r="B332" s="4" t="s">
        <v>369</v>
      </c>
      <c r="C332" s="4" t="s">
        <v>142</v>
      </c>
      <c r="D332" s="4"/>
      <c r="E332" s="5"/>
      <c r="F332" s="2"/>
      <c r="J332" t="s">
        <v>15</v>
      </c>
    </row>
    <row r="333" spans="1:11" ht="31.2" thickBot="1">
      <c r="A333" s="4" t="s">
        <v>407</v>
      </c>
      <c r="B333" s="4" t="s">
        <v>369</v>
      </c>
      <c r="C333" s="4" t="s">
        <v>142</v>
      </c>
      <c r="D333" s="4"/>
      <c r="E333" s="5"/>
      <c r="F333" s="2"/>
      <c r="J333" t="s">
        <v>15</v>
      </c>
    </row>
    <row r="334" spans="1:11" ht="31.2" thickBot="1">
      <c r="A334" s="4" t="s">
        <v>408</v>
      </c>
      <c r="B334" s="4" t="s">
        <v>369</v>
      </c>
      <c r="C334" s="4" t="s">
        <v>142</v>
      </c>
      <c r="D334" s="4"/>
      <c r="E334" s="5"/>
      <c r="F334" s="2"/>
      <c r="J334" t="s">
        <v>15</v>
      </c>
    </row>
    <row r="335" spans="1:11" ht="31.2" thickBot="1">
      <c r="A335" s="4" t="s">
        <v>409</v>
      </c>
      <c r="B335" s="4" t="s">
        <v>410</v>
      </c>
      <c r="C335" s="4" t="s">
        <v>142</v>
      </c>
      <c r="D335" s="4"/>
      <c r="E335" s="5"/>
      <c r="F335" s="2"/>
      <c r="J335" t="s">
        <v>15</v>
      </c>
    </row>
    <row r="336" spans="1:11" ht="31.2" thickBot="1">
      <c r="A336" s="4" t="s">
        <v>411</v>
      </c>
      <c r="B336" s="4" t="s">
        <v>410</v>
      </c>
      <c r="C336" s="4" t="s">
        <v>142</v>
      </c>
      <c r="D336" s="4"/>
      <c r="E336" s="5"/>
      <c r="F336" s="2"/>
      <c r="J336" t="s">
        <v>15</v>
      </c>
    </row>
    <row r="337" spans="1:10" ht="31.2" thickBot="1">
      <c r="A337" s="4" t="s">
        <v>412</v>
      </c>
      <c r="B337" s="4" t="s">
        <v>410</v>
      </c>
      <c r="C337" s="4" t="s">
        <v>142</v>
      </c>
      <c r="D337" s="4"/>
      <c r="E337" s="5"/>
      <c r="F337" s="2"/>
      <c r="J337" t="s">
        <v>15</v>
      </c>
    </row>
    <row r="338" spans="1:10" ht="31.2" thickBot="1">
      <c r="A338" s="4" t="s">
        <v>413</v>
      </c>
      <c r="B338" s="4" t="s">
        <v>410</v>
      </c>
      <c r="C338" s="4" t="s">
        <v>142</v>
      </c>
      <c r="D338" s="4"/>
      <c r="E338" s="5"/>
      <c r="F338" s="2" t="s">
        <v>488</v>
      </c>
    </row>
    <row r="339" spans="1:10" ht="31.2" thickBot="1">
      <c r="A339" s="4" t="s">
        <v>414</v>
      </c>
      <c r="B339" s="4" t="s">
        <v>410</v>
      </c>
      <c r="C339" s="4" t="s">
        <v>142</v>
      </c>
      <c r="D339" s="4"/>
      <c r="E339" s="5"/>
      <c r="F339" s="2" t="s">
        <v>488</v>
      </c>
    </row>
    <row r="340" spans="1:10" ht="31.2" thickBot="1">
      <c r="A340" s="4" t="s">
        <v>415</v>
      </c>
      <c r="B340" s="4" t="s">
        <v>410</v>
      </c>
      <c r="C340" s="4" t="s">
        <v>142</v>
      </c>
      <c r="D340" s="4"/>
      <c r="E340" s="5"/>
      <c r="F340" s="2" t="s">
        <v>488</v>
      </c>
    </row>
    <row r="341" spans="1:10" ht="31.2" thickBot="1">
      <c r="A341" s="4" t="s">
        <v>416</v>
      </c>
      <c r="B341" s="4" t="s">
        <v>410</v>
      </c>
      <c r="C341" s="4" t="s">
        <v>142</v>
      </c>
      <c r="D341" s="4"/>
      <c r="E341" s="5"/>
      <c r="F341" s="2" t="s">
        <v>488</v>
      </c>
    </row>
    <row r="342" spans="1:10" ht="31.2" thickBot="1">
      <c r="A342" s="4" t="s">
        <v>417</v>
      </c>
      <c r="B342" s="4" t="s">
        <v>418</v>
      </c>
      <c r="C342" s="4" t="s">
        <v>142</v>
      </c>
      <c r="D342" s="4"/>
      <c r="E342" s="5"/>
      <c r="F342" s="2" t="s">
        <v>494</v>
      </c>
    </row>
    <row r="343" spans="1:10" ht="31.2" thickBot="1">
      <c r="A343" s="4" t="s">
        <v>419</v>
      </c>
      <c r="B343" s="4" t="s">
        <v>418</v>
      </c>
      <c r="C343" s="4" t="s">
        <v>142</v>
      </c>
      <c r="D343" s="4"/>
      <c r="E343" s="5"/>
      <c r="F343" s="2" t="s">
        <v>494</v>
      </c>
    </row>
    <row r="344" spans="1:10" ht="31.2" thickBot="1">
      <c r="A344" s="4" t="s">
        <v>420</v>
      </c>
      <c r="B344" s="4" t="s">
        <v>418</v>
      </c>
      <c r="C344" s="4" t="s">
        <v>142</v>
      </c>
      <c r="D344" s="4"/>
      <c r="E344" s="5"/>
      <c r="F344" s="2" t="s">
        <v>494</v>
      </c>
    </row>
    <row r="345" spans="1:10" ht="31.2" thickBot="1">
      <c r="A345" s="4" t="s">
        <v>421</v>
      </c>
      <c r="B345" s="4" t="s">
        <v>418</v>
      </c>
      <c r="C345" s="4" t="s">
        <v>142</v>
      </c>
      <c r="D345" s="4"/>
      <c r="E345" s="5"/>
      <c r="F345" s="2" t="s">
        <v>494</v>
      </c>
    </row>
    <row r="346" spans="1:10" ht="31.2" thickBot="1">
      <c r="A346" s="4" t="s">
        <v>422</v>
      </c>
      <c r="B346" s="4" t="s">
        <v>418</v>
      </c>
      <c r="C346" s="4" t="s">
        <v>142</v>
      </c>
      <c r="D346" s="4"/>
      <c r="E346" s="5"/>
      <c r="F346" s="2" t="s">
        <v>494</v>
      </c>
    </row>
    <row r="347" spans="1:10" ht="31.2" thickBot="1">
      <c r="A347" s="4" t="s">
        <v>423</v>
      </c>
      <c r="B347" s="4" t="s">
        <v>424</v>
      </c>
      <c r="C347" s="4" t="s">
        <v>142</v>
      </c>
      <c r="D347" s="4"/>
      <c r="E347" s="5"/>
      <c r="F347" s="2" t="s">
        <v>489</v>
      </c>
    </row>
    <row r="348" spans="1:10" ht="31.2" thickBot="1">
      <c r="A348" s="4" t="s">
        <v>425</v>
      </c>
      <c r="B348" s="4" t="s">
        <v>424</v>
      </c>
      <c r="C348" s="4" t="s">
        <v>142</v>
      </c>
      <c r="D348" s="4"/>
      <c r="E348" s="5"/>
      <c r="F348" s="2" t="s">
        <v>489</v>
      </c>
    </row>
    <row r="349" spans="1:10" ht="31.2" thickBot="1">
      <c r="A349" s="4" t="s">
        <v>426</v>
      </c>
      <c r="B349" s="4" t="s">
        <v>424</v>
      </c>
      <c r="C349" s="4" t="s">
        <v>142</v>
      </c>
      <c r="D349" s="4"/>
      <c r="E349" s="5"/>
      <c r="F349" s="2" t="s">
        <v>489</v>
      </c>
    </row>
    <row r="350" spans="1:10" ht="31.2" thickBot="1">
      <c r="A350" s="4" t="s">
        <v>427</v>
      </c>
      <c r="B350" s="4" t="s">
        <v>424</v>
      </c>
      <c r="C350" s="4" t="s">
        <v>142</v>
      </c>
      <c r="D350" s="4"/>
      <c r="E350" s="5"/>
      <c r="F350" s="2" t="s">
        <v>490</v>
      </c>
    </row>
    <row r="351" spans="1:10" ht="31.2" thickBot="1">
      <c r="A351" s="4" t="s">
        <v>428</v>
      </c>
      <c r="B351" s="4" t="s">
        <v>424</v>
      </c>
      <c r="C351" s="4" t="s">
        <v>142</v>
      </c>
      <c r="D351" s="4"/>
      <c r="E351" s="5"/>
      <c r="F351" s="2" t="s">
        <v>490</v>
      </c>
    </row>
    <row r="352" spans="1:10" ht="31.2" thickBot="1">
      <c r="A352" s="10" t="s">
        <v>429</v>
      </c>
      <c r="B352" s="10" t="s">
        <v>424</v>
      </c>
      <c r="C352" s="10" t="s">
        <v>142</v>
      </c>
      <c r="D352" s="10"/>
      <c r="E352" s="11"/>
      <c r="F352" s="2" t="s">
        <v>491</v>
      </c>
      <c r="J352" t="s">
        <v>15</v>
      </c>
    </row>
    <row r="353" spans="1:10" ht="31.2" thickBot="1">
      <c r="A353" s="10" t="s">
        <v>430</v>
      </c>
      <c r="B353" s="10" t="s">
        <v>424</v>
      </c>
      <c r="C353" s="10" t="s">
        <v>142</v>
      </c>
      <c r="D353" s="10"/>
      <c r="E353" s="11"/>
      <c r="F353" s="2" t="s">
        <v>491</v>
      </c>
      <c r="J353" t="s">
        <v>15</v>
      </c>
    </row>
    <row r="354" spans="1:10" ht="31.2" thickBot="1">
      <c r="A354" s="4" t="s">
        <v>431</v>
      </c>
      <c r="B354" s="4" t="s">
        <v>424</v>
      </c>
      <c r="C354" s="4" t="s">
        <v>142</v>
      </c>
      <c r="D354" s="4"/>
      <c r="E354" s="5"/>
      <c r="F354" s="2" t="s">
        <v>492</v>
      </c>
    </row>
    <row r="355" spans="1:10" ht="31.2" thickBot="1">
      <c r="A355" s="4" t="s">
        <v>432</v>
      </c>
      <c r="B355" s="4" t="s">
        <v>424</v>
      </c>
      <c r="C355" s="4" t="s">
        <v>142</v>
      </c>
      <c r="D355" s="4"/>
      <c r="E355" s="5"/>
      <c r="F355" s="2" t="s">
        <v>492</v>
      </c>
    </row>
    <row r="356" spans="1:10" ht="31.2" thickBot="1">
      <c r="A356" s="4" t="s">
        <v>433</v>
      </c>
      <c r="B356" s="4" t="s">
        <v>424</v>
      </c>
      <c r="C356" s="4" t="s">
        <v>142</v>
      </c>
      <c r="D356" s="4"/>
      <c r="E356" s="5"/>
      <c r="F356" s="2" t="s">
        <v>493</v>
      </c>
    </row>
    <row r="357" spans="1:10" ht="31.2" thickBot="1">
      <c r="A357" s="4" t="s">
        <v>434</v>
      </c>
      <c r="B357" s="4" t="s">
        <v>424</v>
      </c>
      <c r="C357" s="4" t="s">
        <v>142</v>
      </c>
      <c r="D357" s="4"/>
      <c r="E357" s="5"/>
      <c r="F357" s="2" t="s">
        <v>493</v>
      </c>
    </row>
    <row r="358" spans="1:10" ht="31.2" thickBot="1">
      <c r="A358" s="4" t="s">
        <v>435</v>
      </c>
      <c r="B358" s="4" t="s">
        <v>424</v>
      </c>
      <c r="C358" s="4" t="s">
        <v>142</v>
      </c>
      <c r="D358" s="4"/>
      <c r="E358" s="5"/>
      <c r="F358" s="2" t="s">
        <v>494</v>
      </c>
    </row>
    <row r="359" spans="1:10" ht="31.2" thickBot="1">
      <c r="A359" s="4" t="s">
        <v>436</v>
      </c>
      <c r="B359" s="4" t="s">
        <v>424</v>
      </c>
      <c r="C359" s="4" t="s">
        <v>142</v>
      </c>
      <c r="D359" s="4"/>
      <c r="E359" s="5"/>
      <c r="F359" s="2" t="s">
        <v>494</v>
      </c>
    </row>
    <row r="360" spans="1:10" ht="31.2" thickBot="1">
      <c r="A360" s="4" t="s">
        <v>437</v>
      </c>
      <c r="B360" s="4" t="s">
        <v>424</v>
      </c>
      <c r="C360" s="4" t="s">
        <v>142</v>
      </c>
      <c r="D360" s="4"/>
      <c r="E360" s="5"/>
      <c r="F360" s="2" t="s">
        <v>495</v>
      </c>
    </row>
    <row r="361" spans="1:10" ht="31.2" thickBot="1">
      <c r="A361" s="4" t="s">
        <v>438</v>
      </c>
      <c r="B361" s="4" t="s">
        <v>424</v>
      </c>
      <c r="C361" s="4" t="s">
        <v>142</v>
      </c>
      <c r="D361" s="4"/>
      <c r="E361" s="5"/>
      <c r="F361" s="2" t="s">
        <v>495</v>
      </c>
    </row>
    <row r="362" spans="1:10" ht="31.2" thickBot="1">
      <c r="A362" s="4" t="s">
        <v>439</v>
      </c>
      <c r="B362" s="4" t="s">
        <v>440</v>
      </c>
      <c r="C362" s="4" t="s">
        <v>142</v>
      </c>
      <c r="D362" s="4"/>
      <c r="E362" s="5"/>
      <c r="F362" s="2" t="s">
        <v>489</v>
      </c>
    </row>
    <row r="363" spans="1:10" ht="31.2" thickBot="1">
      <c r="A363" s="4" t="s">
        <v>441</v>
      </c>
      <c r="B363" s="4" t="s">
        <v>440</v>
      </c>
      <c r="C363" s="4" t="s">
        <v>142</v>
      </c>
      <c r="D363" s="4"/>
      <c r="E363" s="5"/>
      <c r="F363" s="2" t="s">
        <v>489</v>
      </c>
    </row>
    <row r="364" spans="1:10" ht="31.2" thickBot="1">
      <c r="A364" s="4" t="s">
        <v>442</v>
      </c>
      <c r="B364" s="4" t="s">
        <v>440</v>
      </c>
      <c r="C364" s="4" t="s">
        <v>142</v>
      </c>
      <c r="D364" s="4"/>
      <c r="E364" s="5"/>
      <c r="F364" s="2" t="s">
        <v>490</v>
      </c>
    </row>
    <row r="365" spans="1:10" ht="31.2" thickBot="1">
      <c r="A365" s="4" t="s">
        <v>443</v>
      </c>
      <c r="B365" s="4" t="s">
        <v>440</v>
      </c>
      <c r="C365" s="4" t="s">
        <v>142</v>
      </c>
      <c r="D365" s="4"/>
      <c r="E365" s="5"/>
      <c r="F365" s="2" t="s">
        <v>489</v>
      </c>
    </row>
    <row r="366" spans="1:10" ht="31.2" thickBot="1">
      <c r="A366" s="4" t="s">
        <v>444</v>
      </c>
      <c r="B366" s="4" t="s">
        <v>440</v>
      </c>
      <c r="C366" s="4" t="s">
        <v>142</v>
      </c>
      <c r="D366" s="4"/>
      <c r="E366" s="5"/>
      <c r="F366" s="2" t="s">
        <v>495</v>
      </c>
    </row>
    <row r="367" spans="1:10" ht="31.2" thickBot="1">
      <c r="A367" s="4" t="s">
        <v>445</v>
      </c>
      <c r="B367" s="4" t="s">
        <v>440</v>
      </c>
      <c r="C367" s="4" t="s">
        <v>142</v>
      </c>
      <c r="D367" s="4"/>
      <c r="E367" s="5"/>
      <c r="F367" s="2" t="s">
        <v>496</v>
      </c>
    </row>
    <row r="368" spans="1:10" ht="31.2" thickBot="1">
      <c r="A368" s="4" t="s">
        <v>446</v>
      </c>
      <c r="B368" s="4" t="s">
        <v>440</v>
      </c>
      <c r="C368" s="4" t="s">
        <v>142</v>
      </c>
      <c r="D368" s="4"/>
      <c r="E368" s="5"/>
      <c r="F368" s="2" t="s">
        <v>496</v>
      </c>
    </row>
    <row r="369" spans="1:10" ht="31.2" thickBot="1">
      <c r="A369" s="4" t="s">
        <v>447</v>
      </c>
      <c r="B369" s="4" t="s">
        <v>448</v>
      </c>
      <c r="C369" s="4" t="s">
        <v>142</v>
      </c>
      <c r="D369" s="4"/>
      <c r="E369" s="5"/>
      <c r="F369" s="2" t="s">
        <v>497</v>
      </c>
      <c r="J369" t="s">
        <v>449</v>
      </c>
    </row>
    <row r="370" spans="1:10" ht="31.2" thickBot="1">
      <c r="A370" s="4" t="s">
        <v>450</v>
      </c>
      <c r="B370" s="4" t="s">
        <v>448</v>
      </c>
      <c r="C370" s="4" t="s">
        <v>142</v>
      </c>
      <c r="D370" s="4"/>
      <c r="E370" s="5"/>
      <c r="F370" s="2" t="s">
        <v>497</v>
      </c>
      <c r="J370" t="s">
        <v>449</v>
      </c>
    </row>
    <row r="371" spans="1:10" ht="31.2" thickBot="1">
      <c r="A371" s="4" t="s">
        <v>451</v>
      </c>
      <c r="B371" s="4" t="s">
        <v>452</v>
      </c>
      <c r="C371" s="4" t="s">
        <v>142</v>
      </c>
      <c r="D371" s="4"/>
      <c r="E371" s="5"/>
      <c r="F371" s="2" t="s">
        <v>496</v>
      </c>
    </row>
    <row r="372" spans="1:10" ht="31.2" thickBot="1">
      <c r="A372" s="4" t="s">
        <v>453</v>
      </c>
      <c r="B372" s="4" t="s">
        <v>452</v>
      </c>
      <c r="C372" s="4" t="s">
        <v>142</v>
      </c>
      <c r="D372" s="4"/>
      <c r="E372" s="5"/>
      <c r="F372" s="2" t="s">
        <v>496</v>
      </c>
    </row>
    <row r="373" spans="1:10" ht="31.2" thickBot="1">
      <c r="A373" s="4" t="s">
        <v>454</v>
      </c>
      <c r="B373" s="4" t="s">
        <v>452</v>
      </c>
      <c r="C373" s="4" t="s">
        <v>142</v>
      </c>
      <c r="D373" s="4"/>
      <c r="E373" s="5"/>
      <c r="F373" s="2" t="s">
        <v>496</v>
      </c>
      <c r="J373" t="s">
        <v>449</v>
      </c>
    </row>
    <row r="374" spans="1:10" ht="31.2" thickBot="1">
      <c r="A374" s="4" t="s">
        <v>455</v>
      </c>
      <c r="B374" s="4" t="s">
        <v>456</v>
      </c>
      <c r="C374" s="4" t="s">
        <v>142</v>
      </c>
      <c r="D374" s="4"/>
      <c r="E374" s="5"/>
      <c r="F374" s="2" t="s">
        <v>496</v>
      </c>
    </row>
    <row r="375" spans="1:10" ht="31.2" thickBot="1">
      <c r="A375" s="4" t="s">
        <v>457</v>
      </c>
      <c r="B375" s="4" t="s">
        <v>456</v>
      </c>
      <c r="C375" s="4" t="s">
        <v>142</v>
      </c>
      <c r="D375" s="4"/>
      <c r="E375" s="5"/>
      <c r="F375" s="2" t="s">
        <v>496</v>
      </c>
    </row>
    <row r="376" spans="1:10" ht="31.2" thickBot="1">
      <c r="A376" s="4" t="s">
        <v>458</v>
      </c>
      <c r="B376" s="4" t="s">
        <v>456</v>
      </c>
      <c r="C376" s="4" t="s">
        <v>142</v>
      </c>
      <c r="D376" s="4"/>
      <c r="E376" s="5"/>
      <c r="F376" s="2" t="s">
        <v>496</v>
      </c>
    </row>
    <row r="377" spans="1:10" ht="31.2" thickBot="1">
      <c r="A377" s="4" t="s">
        <v>459</v>
      </c>
      <c r="B377" s="4" t="s">
        <v>456</v>
      </c>
      <c r="C377" s="4" t="s">
        <v>142</v>
      </c>
      <c r="D377" s="4"/>
      <c r="E377" s="5"/>
      <c r="F377" s="2" t="s">
        <v>496</v>
      </c>
    </row>
    <row r="378" spans="1:10" ht="16.2" thickBot="1">
      <c r="A378" s="12" t="s">
        <v>460</v>
      </c>
      <c r="B378" s="4" t="s">
        <v>461</v>
      </c>
      <c r="C378" s="4" t="s">
        <v>142</v>
      </c>
      <c r="D378" s="4"/>
      <c r="E378" s="5"/>
      <c r="F378" s="2" t="s">
        <v>498</v>
      </c>
      <c r="J378" t="s">
        <v>15</v>
      </c>
    </row>
    <row r="379" spans="1:10" ht="16.2" thickBot="1">
      <c r="A379" s="4" t="s">
        <v>462</v>
      </c>
      <c r="B379" s="4" t="s">
        <v>461</v>
      </c>
      <c r="C379" s="4" t="s">
        <v>142</v>
      </c>
      <c r="D379" s="4"/>
      <c r="E379" s="5"/>
      <c r="F379" s="2" t="s">
        <v>498</v>
      </c>
      <c r="J379" t="s">
        <v>15</v>
      </c>
    </row>
    <row r="380" spans="1:10" ht="16.2" thickBot="1">
      <c r="A380" s="4" t="s">
        <v>463</v>
      </c>
      <c r="B380" s="4" t="s">
        <v>461</v>
      </c>
      <c r="C380" s="4" t="s">
        <v>142</v>
      </c>
      <c r="D380" s="4"/>
      <c r="E380" s="5"/>
      <c r="F380" s="2" t="s">
        <v>499</v>
      </c>
      <c r="J380" t="s">
        <v>15</v>
      </c>
    </row>
    <row r="381" spans="1:10" ht="16.2" thickBot="1">
      <c r="A381" s="4" t="s">
        <v>464</v>
      </c>
      <c r="B381" s="4" t="s">
        <v>461</v>
      </c>
      <c r="C381" s="4" t="s">
        <v>142</v>
      </c>
      <c r="D381" s="4"/>
      <c r="E381" s="5"/>
      <c r="F381" s="2" t="s">
        <v>500</v>
      </c>
    </row>
    <row r="382" spans="1:10" ht="16.2" thickBot="1">
      <c r="A382" s="4" t="s">
        <v>465</v>
      </c>
      <c r="B382" s="4" t="s">
        <v>461</v>
      </c>
      <c r="C382" s="4" t="s">
        <v>142</v>
      </c>
      <c r="D382" s="4"/>
      <c r="E382" s="5"/>
      <c r="F382" s="2" t="s">
        <v>501</v>
      </c>
    </row>
    <row r="383" spans="1:10" ht="16.2" thickBot="1">
      <c r="A383" s="4" t="s">
        <v>466</v>
      </c>
      <c r="B383" s="4" t="s">
        <v>461</v>
      </c>
      <c r="C383" s="4" t="s">
        <v>142</v>
      </c>
      <c r="D383" s="4"/>
      <c r="E383" s="5"/>
      <c r="F383" s="2" t="s">
        <v>495</v>
      </c>
    </row>
    <row r="384" spans="1:10" ht="16.2" thickBot="1">
      <c r="A384" s="4" t="s">
        <v>467</v>
      </c>
      <c r="B384" s="4" t="s">
        <v>461</v>
      </c>
      <c r="C384" s="4" t="s">
        <v>142</v>
      </c>
      <c r="D384" s="4"/>
      <c r="E384" s="5"/>
      <c r="F384" s="2" t="s">
        <v>502</v>
      </c>
    </row>
    <row r="385" spans="1:10" ht="16.2" thickBot="1">
      <c r="A385" s="4" t="s">
        <v>468</v>
      </c>
      <c r="B385" s="4" t="s">
        <v>461</v>
      </c>
      <c r="C385" s="4" t="s">
        <v>142</v>
      </c>
      <c r="D385" s="4"/>
      <c r="E385" s="5"/>
      <c r="F385" s="2" t="s">
        <v>502</v>
      </c>
    </row>
    <row r="386" spans="1:10" ht="16.2" thickBot="1">
      <c r="A386" s="4" t="s">
        <v>469</v>
      </c>
      <c r="B386" s="4" t="s">
        <v>461</v>
      </c>
      <c r="C386" s="4" t="s">
        <v>142</v>
      </c>
      <c r="D386" s="4"/>
      <c r="E386" s="5"/>
      <c r="F386" s="2" t="s">
        <v>494</v>
      </c>
    </row>
    <row r="387" spans="1:10" ht="16.2" thickBot="1">
      <c r="A387" s="4" t="s">
        <v>470</v>
      </c>
      <c r="B387" s="4" t="s">
        <v>461</v>
      </c>
      <c r="C387" s="4" t="s">
        <v>142</v>
      </c>
      <c r="D387" s="4"/>
      <c r="E387" s="5"/>
      <c r="F387" s="2" t="s">
        <v>502</v>
      </c>
    </row>
    <row r="388" spans="1:10" ht="16.2" thickBot="1">
      <c r="A388" s="4" t="s">
        <v>471</v>
      </c>
      <c r="B388" s="4" t="s">
        <v>461</v>
      </c>
      <c r="C388" s="4" t="s">
        <v>142</v>
      </c>
      <c r="D388" s="4"/>
      <c r="E388" s="5"/>
      <c r="F388" s="2" t="s">
        <v>502</v>
      </c>
    </row>
    <row r="389" spans="1:10" ht="16.2" thickBot="1">
      <c r="A389" s="4" t="s">
        <v>472</v>
      </c>
      <c r="B389" s="4" t="s">
        <v>461</v>
      </c>
      <c r="C389" s="4" t="s">
        <v>142</v>
      </c>
      <c r="D389" s="4"/>
      <c r="E389" s="5"/>
      <c r="F389" s="2" t="s">
        <v>502</v>
      </c>
    </row>
    <row r="390" spans="1:10" ht="16.2" thickBot="1">
      <c r="A390" s="4" t="s">
        <v>473</v>
      </c>
      <c r="B390" s="4" t="s">
        <v>461</v>
      </c>
      <c r="C390" s="4" t="s">
        <v>142</v>
      </c>
      <c r="D390" s="4"/>
      <c r="E390" s="5"/>
      <c r="F390" s="2" t="s">
        <v>502</v>
      </c>
    </row>
    <row r="391" spans="1:10" ht="16.2" thickBot="1">
      <c r="A391" s="4" t="s">
        <v>474</v>
      </c>
      <c r="B391" s="4" t="s">
        <v>461</v>
      </c>
      <c r="C391" s="4" t="s">
        <v>142</v>
      </c>
      <c r="D391" s="4"/>
      <c r="E391" s="5"/>
      <c r="F391" s="2" t="s">
        <v>503</v>
      </c>
      <c r="J391" t="s">
        <v>15</v>
      </c>
    </row>
    <row r="392" spans="1:10" ht="16.2" thickBot="1">
      <c r="A392" s="4" t="s">
        <v>475</v>
      </c>
      <c r="B392" s="4" t="s">
        <v>461</v>
      </c>
      <c r="C392" s="4" t="s">
        <v>142</v>
      </c>
      <c r="D392" s="4"/>
      <c r="E392" s="5"/>
      <c r="F392" s="2" t="s">
        <v>504</v>
      </c>
      <c r="J392" t="s">
        <v>15</v>
      </c>
    </row>
    <row r="393" spans="1:10" ht="16.2" thickBot="1">
      <c r="A393" s="4" t="s">
        <v>476</v>
      </c>
      <c r="B393" s="4" t="s">
        <v>461</v>
      </c>
      <c r="C393" s="4" t="s">
        <v>142</v>
      </c>
      <c r="D393" s="4"/>
      <c r="E393" s="5"/>
      <c r="F393" s="2" t="s">
        <v>504</v>
      </c>
      <c r="J393" t="s">
        <v>15</v>
      </c>
    </row>
    <row r="394" spans="1:10" ht="16.2" thickBot="1">
      <c r="A394" s="4" t="s">
        <v>477</v>
      </c>
      <c r="B394" s="4" t="s">
        <v>478</v>
      </c>
      <c r="C394" s="4" t="s">
        <v>142</v>
      </c>
      <c r="D394" s="4"/>
      <c r="E394" s="5"/>
      <c r="F394" s="2" t="s">
        <v>505</v>
      </c>
    </row>
    <row r="395" spans="1:10" ht="16.2" thickBot="1">
      <c r="A395" s="4" t="s">
        <v>479</v>
      </c>
      <c r="B395" s="4" t="s">
        <v>478</v>
      </c>
      <c r="C395" s="4" t="s">
        <v>142</v>
      </c>
      <c r="D395" s="4"/>
      <c r="E395" s="5"/>
      <c r="F395" s="2" t="s">
        <v>505</v>
      </c>
    </row>
    <row r="396" spans="1:10" ht="16.2" thickBot="1">
      <c r="A396" s="4" t="s">
        <v>480</v>
      </c>
      <c r="B396" s="4" t="s">
        <v>478</v>
      </c>
      <c r="C396" s="4" t="s">
        <v>142</v>
      </c>
      <c r="D396" s="4"/>
      <c r="E396" s="5"/>
      <c r="F396" s="2" t="s">
        <v>505</v>
      </c>
    </row>
    <row r="397" spans="1:10" ht="16.2" thickBot="1">
      <c r="A397" s="13" t="s">
        <v>481</v>
      </c>
      <c r="B397" s="13" t="s">
        <v>478</v>
      </c>
      <c r="C397" s="13" t="s">
        <v>142</v>
      </c>
      <c r="D397" s="13"/>
      <c r="E397" s="14"/>
      <c r="F397" s="2" t="s">
        <v>505</v>
      </c>
      <c r="G397" s="15"/>
      <c r="H397" s="15"/>
      <c r="I397" s="15"/>
      <c r="J397" s="15" t="s">
        <v>482</v>
      </c>
    </row>
    <row r="398" spans="1:10" ht="16.2" thickBot="1">
      <c r="A398" s="4" t="s">
        <v>483</v>
      </c>
      <c r="B398" s="4" t="s">
        <v>478</v>
      </c>
      <c r="C398" s="4" t="s">
        <v>142</v>
      </c>
      <c r="D398" s="4"/>
      <c r="E398" s="5"/>
      <c r="F398" s="2" t="s">
        <v>505</v>
      </c>
    </row>
    <row r="399" spans="1:10" ht="16.2" thickBot="1">
      <c r="A399" s="4" t="s">
        <v>484</v>
      </c>
      <c r="B399" s="4" t="s">
        <v>478</v>
      </c>
      <c r="C399" s="4" t="s">
        <v>142</v>
      </c>
      <c r="D399" s="4"/>
      <c r="E399" s="5"/>
      <c r="F399" s="2" t="s">
        <v>505</v>
      </c>
    </row>
    <row r="400" spans="1:10" ht="16.2" thickBot="1">
      <c r="A400" s="4" t="s">
        <v>485</v>
      </c>
      <c r="B400" s="4" t="s">
        <v>478</v>
      </c>
      <c r="C400" s="4" t="s">
        <v>142</v>
      </c>
      <c r="D400" s="4"/>
      <c r="E400" s="5"/>
      <c r="F400" s="2" t="s">
        <v>505</v>
      </c>
    </row>
    <row r="401" spans="1:6" ht="16.2" thickBot="1">
      <c r="A401" s="4" t="s">
        <v>486</v>
      </c>
      <c r="B401" s="4" t="s">
        <v>478</v>
      </c>
      <c r="C401" s="4" t="s">
        <v>142</v>
      </c>
      <c r="D401" s="4"/>
      <c r="E401" s="5"/>
      <c r="F401" s="2" t="s">
        <v>505</v>
      </c>
    </row>
    <row r="402" spans="1:6" ht="16.2" thickBot="1">
      <c r="A402" s="4" t="s">
        <v>487</v>
      </c>
      <c r="B402" s="4" t="s">
        <v>478</v>
      </c>
      <c r="C402" s="4" t="s">
        <v>142</v>
      </c>
      <c r="D402" s="4"/>
      <c r="E402" s="5"/>
      <c r="F402" s="2" t="s">
        <v>505</v>
      </c>
    </row>
    <row r="403" spans="1:6" ht="15" thickBot="1">
      <c r="A403" s="2"/>
      <c r="B403" s="2"/>
      <c r="C403" s="2"/>
      <c r="D403" s="2"/>
      <c r="E403" s="2"/>
      <c r="F403" s="2"/>
    </row>
    <row r="404" spans="1:6" ht="15" thickBot="1">
      <c r="A404" s="2"/>
      <c r="B404" s="2"/>
      <c r="C404" s="2"/>
      <c r="D404" s="2"/>
      <c r="E404" s="2"/>
      <c r="F40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E910-8E6F-404B-BA4D-060668BC2CAF}">
  <dimension ref="A1:M151"/>
  <sheetViews>
    <sheetView tabSelected="1" zoomScale="85" zoomScaleNormal="85" workbookViewId="0">
      <pane ySplit="1" topLeftCell="A130" activePane="bottomLeft" state="frozen"/>
      <selection pane="bottomLeft" activeCell="E139" sqref="E139"/>
    </sheetView>
  </sheetViews>
  <sheetFormatPr baseColWidth="10" defaultRowHeight="14.4"/>
  <cols>
    <col min="2" max="2" width="27.33203125" customWidth="1"/>
    <col min="3" max="3" width="23.88671875" customWidth="1"/>
    <col min="4" max="4" width="6.6640625" bestFit="1" customWidth="1"/>
    <col min="5" max="5" width="26.5546875" customWidth="1"/>
    <col min="6" max="6" width="11.5546875" style="26"/>
    <col min="7" max="11" width="0" hidden="1" customWidth="1"/>
  </cols>
  <sheetData>
    <row r="1" spans="1:12" ht="31.8" thickBot="1">
      <c r="A1" t="s">
        <v>0</v>
      </c>
      <c r="B1" s="16" t="s">
        <v>506</v>
      </c>
      <c r="C1" s="20" t="s">
        <v>613</v>
      </c>
      <c r="D1" s="16" t="s">
        <v>5</v>
      </c>
      <c r="E1" s="17" t="s">
        <v>507</v>
      </c>
      <c r="F1" s="25" t="s">
        <v>508</v>
      </c>
      <c r="G1" s="1" t="s">
        <v>1</v>
      </c>
      <c r="H1" s="1" t="s">
        <v>2</v>
      </c>
      <c r="I1" s="1"/>
      <c r="J1" s="1"/>
      <c r="K1" s="2" t="s">
        <v>3</v>
      </c>
      <c r="L1" s="3" t="s">
        <v>7</v>
      </c>
    </row>
    <row r="2" spans="1:12">
      <c r="A2" s="31">
        <v>1</v>
      </c>
      <c r="B2" s="38" t="s">
        <v>447</v>
      </c>
      <c r="C2" s="38" t="s">
        <v>519</v>
      </c>
      <c r="D2" s="18" t="s">
        <v>13</v>
      </c>
      <c r="E2" s="38" t="s">
        <v>637</v>
      </c>
      <c r="F2" s="39">
        <v>1</v>
      </c>
    </row>
    <row r="3" spans="1:12">
      <c r="A3" s="31">
        <v>2</v>
      </c>
      <c r="B3" s="38" t="s">
        <v>450</v>
      </c>
      <c r="C3" s="38" t="s">
        <v>520</v>
      </c>
      <c r="D3" s="18" t="s">
        <v>13</v>
      </c>
      <c r="E3" s="38" t="s">
        <v>637</v>
      </c>
      <c r="F3" s="39">
        <v>1</v>
      </c>
    </row>
    <row r="4" spans="1:12">
      <c r="A4" s="31">
        <v>3</v>
      </c>
      <c r="B4" s="38" t="s">
        <v>8</v>
      </c>
      <c r="C4" s="38" t="s">
        <v>521</v>
      </c>
      <c r="D4" s="18" t="s">
        <v>13</v>
      </c>
      <c r="E4" s="38" t="s">
        <v>509</v>
      </c>
      <c r="F4" s="39">
        <v>2</v>
      </c>
    </row>
    <row r="5" spans="1:12">
      <c r="A5" s="31">
        <v>4</v>
      </c>
      <c r="B5" s="38" t="s">
        <v>37</v>
      </c>
      <c r="C5" s="38" t="s">
        <v>522</v>
      </c>
      <c r="D5" s="18" t="s">
        <v>13</v>
      </c>
      <c r="E5" s="38" t="s">
        <v>509</v>
      </c>
      <c r="F5" s="39">
        <v>2</v>
      </c>
    </row>
    <row r="6" spans="1:12">
      <c r="A6" s="31">
        <v>5</v>
      </c>
      <c r="B6" s="38" t="s">
        <v>73</v>
      </c>
      <c r="C6" s="38" t="s">
        <v>523</v>
      </c>
      <c r="D6" s="18" t="s">
        <v>13</v>
      </c>
      <c r="E6" s="38" t="s">
        <v>509</v>
      </c>
      <c r="F6" s="39">
        <v>2</v>
      </c>
    </row>
    <row r="7" spans="1:12">
      <c r="A7" s="31">
        <v>6</v>
      </c>
      <c r="B7" s="38" t="s">
        <v>524</v>
      </c>
      <c r="C7" s="38" t="s">
        <v>525</v>
      </c>
      <c r="D7" s="18" t="s">
        <v>13</v>
      </c>
      <c r="E7" s="38" t="s">
        <v>509</v>
      </c>
      <c r="F7" s="39">
        <v>2</v>
      </c>
    </row>
    <row r="8" spans="1:12">
      <c r="A8" s="31">
        <v>7</v>
      </c>
      <c r="B8" s="38" t="s">
        <v>91</v>
      </c>
      <c r="C8" s="38" t="s">
        <v>526</v>
      </c>
      <c r="D8" s="18" t="s">
        <v>13</v>
      </c>
      <c r="E8" s="38" t="s">
        <v>509</v>
      </c>
      <c r="F8" s="39">
        <v>2</v>
      </c>
    </row>
    <row r="9" spans="1:12">
      <c r="A9" s="31">
        <v>8</v>
      </c>
      <c r="B9" s="38" t="s">
        <v>120</v>
      </c>
      <c r="C9" s="38" t="s">
        <v>527</v>
      </c>
      <c r="D9" s="18" t="s">
        <v>13</v>
      </c>
      <c r="E9" s="38" t="s">
        <v>509</v>
      </c>
      <c r="F9" s="39">
        <v>2</v>
      </c>
    </row>
    <row r="10" spans="1:12">
      <c r="A10" s="31">
        <v>9</v>
      </c>
      <c r="B10" s="38" t="s">
        <v>141</v>
      </c>
      <c r="C10" s="38" t="s">
        <v>528</v>
      </c>
      <c r="D10" s="18" t="s">
        <v>13</v>
      </c>
      <c r="E10" s="38" t="s">
        <v>509</v>
      </c>
      <c r="F10" s="39">
        <v>2</v>
      </c>
    </row>
    <row r="11" spans="1:12">
      <c r="A11" s="31">
        <v>10</v>
      </c>
      <c r="B11" s="38" t="s">
        <v>144</v>
      </c>
      <c r="C11" s="38" t="s">
        <v>529</v>
      </c>
      <c r="D11" s="18" t="s">
        <v>13</v>
      </c>
      <c r="E11" s="38" t="s">
        <v>639</v>
      </c>
      <c r="F11" s="39">
        <v>2</v>
      </c>
    </row>
    <row r="12" spans="1:12">
      <c r="A12" s="31">
        <v>11</v>
      </c>
      <c r="B12" s="38" t="s">
        <v>145</v>
      </c>
      <c r="C12" s="38" t="s">
        <v>530</v>
      </c>
      <c r="D12" s="18" t="s">
        <v>13</v>
      </c>
      <c r="E12" s="38" t="s">
        <v>639</v>
      </c>
      <c r="F12" s="39">
        <v>2</v>
      </c>
    </row>
    <row r="13" spans="1:12">
      <c r="A13" s="31">
        <v>12</v>
      </c>
      <c r="B13" s="38" t="s">
        <v>146</v>
      </c>
      <c r="C13" s="38" t="s">
        <v>531</v>
      </c>
      <c r="D13" s="18" t="s">
        <v>13</v>
      </c>
      <c r="E13" s="38" t="s">
        <v>639</v>
      </c>
      <c r="F13" s="39">
        <v>2</v>
      </c>
    </row>
    <row r="14" spans="1:12">
      <c r="A14" s="31">
        <v>13</v>
      </c>
      <c r="B14" s="38" t="s">
        <v>147</v>
      </c>
      <c r="C14" s="38" t="s">
        <v>532</v>
      </c>
      <c r="D14" s="18" t="s">
        <v>13</v>
      </c>
      <c r="E14" s="38" t="s">
        <v>639</v>
      </c>
      <c r="F14" s="39">
        <v>2</v>
      </c>
    </row>
    <row r="15" spans="1:12">
      <c r="A15" s="31">
        <v>14</v>
      </c>
      <c r="B15" s="36" t="s">
        <v>510</v>
      </c>
      <c r="C15" s="36"/>
      <c r="D15" s="36"/>
      <c r="E15" s="36" t="s">
        <v>639</v>
      </c>
      <c r="F15" s="37">
        <v>2</v>
      </c>
    </row>
    <row r="16" spans="1:12">
      <c r="A16" s="31">
        <v>15</v>
      </c>
      <c r="B16" s="19" t="s">
        <v>511</v>
      </c>
      <c r="C16" s="19"/>
      <c r="D16" s="19"/>
      <c r="E16" s="19" t="s">
        <v>639</v>
      </c>
      <c r="F16" s="34">
        <v>12</v>
      </c>
    </row>
    <row r="17" spans="1:13">
      <c r="A17" s="31">
        <v>16</v>
      </c>
      <c r="B17" s="18" t="s">
        <v>474</v>
      </c>
      <c r="C17" s="18" t="s">
        <v>533</v>
      </c>
      <c r="D17" s="18" t="s">
        <v>13</v>
      </c>
      <c r="E17" s="18" t="s">
        <v>638</v>
      </c>
      <c r="F17" s="25">
        <v>3</v>
      </c>
      <c r="L17" t="s">
        <v>482</v>
      </c>
    </row>
    <row r="18" spans="1:13">
      <c r="A18" s="31">
        <v>17</v>
      </c>
      <c r="B18" s="18" t="s">
        <v>163</v>
      </c>
      <c r="C18" s="18" t="s">
        <v>534</v>
      </c>
      <c r="D18" s="18" t="s">
        <v>13</v>
      </c>
      <c r="E18" s="17" t="s">
        <v>640</v>
      </c>
      <c r="F18" s="25">
        <v>4</v>
      </c>
      <c r="L18" t="s">
        <v>15</v>
      </c>
    </row>
    <row r="19" spans="1:13">
      <c r="A19" s="31">
        <v>18</v>
      </c>
      <c r="B19" s="18" t="s">
        <v>189</v>
      </c>
      <c r="C19" s="18" t="s">
        <v>535</v>
      </c>
      <c r="D19" s="18" t="s">
        <v>13</v>
      </c>
      <c r="E19" s="17" t="s">
        <v>640</v>
      </c>
      <c r="F19" s="25">
        <v>4</v>
      </c>
      <c r="L19" t="s">
        <v>15</v>
      </c>
    </row>
    <row r="20" spans="1:13" ht="13.95" customHeight="1">
      <c r="A20" s="31">
        <v>19</v>
      </c>
      <c r="B20" s="18" t="s">
        <v>191</v>
      </c>
      <c r="C20" s="18" t="s">
        <v>536</v>
      </c>
      <c r="D20" s="18" t="s">
        <v>13</v>
      </c>
      <c r="E20" s="17" t="s">
        <v>640</v>
      </c>
      <c r="F20" s="25">
        <v>4</v>
      </c>
      <c r="L20" t="s">
        <v>15</v>
      </c>
    </row>
    <row r="21" spans="1:13">
      <c r="A21" s="31">
        <v>20</v>
      </c>
      <c r="B21" s="18" t="s">
        <v>192</v>
      </c>
      <c r="C21" s="18" t="s">
        <v>537</v>
      </c>
      <c r="D21" s="18" t="s">
        <v>13</v>
      </c>
      <c r="E21" s="17" t="s">
        <v>640</v>
      </c>
      <c r="F21" s="25">
        <v>4</v>
      </c>
      <c r="L21" t="s">
        <v>15</v>
      </c>
    </row>
    <row r="22" spans="1:13">
      <c r="A22" s="31">
        <v>21</v>
      </c>
      <c r="B22" s="18" t="s">
        <v>210</v>
      </c>
      <c r="C22" s="18" t="s">
        <v>538</v>
      </c>
      <c r="D22" s="18" t="s">
        <v>13</v>
      </c>
      <c r="E22" s="17" t="s">
        <v>640</v>
      </c>
      <c r="F22" s="25">
        <v>4</v>
      </c>
      <c r="L22" t="s">
        <v>15</v>
      </c>
    </row>
    <row r="23" spans="1:13">
      <c r="A23" s="31">
        <v>22</v>
      </c>
      <c r="B23" s="18" t="s">
        <v>225</v>
      </c>
      <c r="C23" s="18" t="s">
        <v>539</v>
      </c>
      <c r="D23" s="18" t="s">
        <v>13</v>
      </c>
      <c r="E23" s="17" t="s">
        <v>640</v>
      </c>
      <c r="F23" s="25">
        <v>4</v>
      </c>
      <c r="L23" t="s">
        <v>15</v>
      </c>
    </row>
    <row r="24" spans="1:13">
      <c r="A24" s="31">
        <v>23</v>
      </c>
      <c r="B24" s="18" t="s">
        <v>226</v>
      </c>
      <c r="C24" s="18" t="s">
        <v>540</v>
      </c>
      <c r="D24" s="18" t="s">
        <v>13</v>
      </c>
      <c r="E24" s="17" t="s">
        <v>640</v>
      </c>
      <c r="F24" s="25">
        <v>4</v>
      </c>
      <c r="L24" t="s">
        <v>15</v>
      </c>
    </row>
    <row r="25" spans="1:13">
      <c r="A25" s="31">
        <v>24</v>
      </c>
      <c r="B25" s="18" t="s">
        <v>227</v>
      </c>
      <c r="C25" s="18" t="s">
        <v>541</v>
      </c>
      <c r="D25" s="18" t="s">
        <v>13</v>
      </c>
      <c r="E25" s="17" t="s">
        <v>640</v>
      </c>
      <c r="F25" s="25">
        <v>4</v>
      </c>
      <c r="L25" t="s">
        <v>15</v>
      </c>
    </row>
    <row r="26" spans="1:13">
      <c r="A26" s="31">
        <v>25</v>
      </c>
      <c r="B26" s="18" t="s">
        <v>228</v>
      </c>
      <c r="C26" s="18" t="s">
        <v>542</v>
      </c>
      <c r="D26" s="18" t="s">
        <v>13</v>
      </c>
      <c r="E26" s="17" t="s">
        <v>640</v>
      </c>
      <c r="F26" s="25">
        <v>4</v>
      </c>
      <c r="L26" t="s">
        <v>15</v>
      </c>
    </row>
    <row r="27" spans="1:13" ht="15.6">
      <c r="A27" s="31">
        <v>26</v>
      </c>
      <c r="B27" s="18" t="s">
        <v>543</v>
      </c>
      <c r="C27" s="18" t="s">
        <v>544</v>
      </c>
      <c r="D27" s="18" t="s">
        <v>13</v>
      </c>
      <c r="E27" s="17" t="s">
        <v>640</v>
      </c>
      <c r="F27" s="25">
        <v>4</v>
      </c>
      <c r="L27" t="s">
        <v>15</v>
      </c>
      <c r="M27" s="29"/>
    </row>
    <row r="28" spans="1:13" ht="21.6" customHeight="1">
      <c r="A28" s="31">
        <v>27</v>
      </c>
      <c r="B28" s="18" t="s">
        <v>545</v>
      </c>
      <c r="C28" s="18" t="s">
        <v>546</v>
      </c>
      <c r="D28" s="18" t="s">
        <v>13</v>
      </c>
      <c r="E28" s="17" t="s">
        <v>640</v>
      </c>
      <c r="F28" s="25">
        <v>4</v>
      </c>
      <c r="L28" t="s">
        <v>15</v>
      </c>
    </row>
    <row r="29" spans="1:13" ht="45.6">
      <c r="A29" s="31">
        <v>28</v>
      </c>
      <c r="B29" s="36" t="s">
        <v>547</v>
      </c>
      <c r="C29" s="36" t="s">
        <v>548</v>
      </c>
      <c r="D29" s="36" t="s">
        <v>13</v>
      </c>
      <c r="E29" s="40" t="s">
        <v>640</v>
      </c>
      <c r="F29" s="25">
        <v>11</v>
      </c>
      <c r="L29" t="s">
        <v>482</v>
      </c>
      <c r="M29" s="21" t="s">
        <v>464</v>
      </c>
    </row>
    <row r="30" spans="1:13">
      <c r="A30" s="31">
        <v>29</v>
      </c>
      <c r="B30" s="19" t="s">
        <v>549</v>
      </c>
      <c r="C30" s="19" t="s">
        <v>550</v>
      </c>
      <c r="D30" s="19"/>
      <c r="E30" s="33" t="s">
        <v>640</v>
      </c>
      <c r="F30" s="34">
        <v>12</v>
      </c>
    </row>
    <row r="31" spans="1:13">
      <c r="A31" s="31">
        <v>30</v>
      </c>
      <c r="B31" s="18" t="s">
        <v>229</v>
      </c>
      <c r="C31" s="18" t="s">
        <v>551</v>
      </c>
      <c r="D31" s="18" t="s">
        <v>13</v>
      </c>
      <c r="E31" s="18" t="s">
        <v>641</v>
      </c>
      <c r="F31" s="25">
        <v>5</v>
      </c>
      <c r="L31" t="s">
        <v>482</v>
      </c>
    </row>
    <row r="32" spans="1:13">
      <c r="A32" s="31">
        <v>31</v>
      </c>
      <c r="B32" s="18" t="s">
        <v>231</v>
      </c>
      <c r="C32" s="18" t="s">
        <v>552</v>
      </c>
      <c r="D32" s="18" t="s">
        <v>13</v>
      </c>
      <c r="E32" s="18" t="s">
        <v>641</v>
      </c>
      <c r="F32" s="25">
        <v>5</v>
      </c>
      <c r="L32" t="s">
        <v>482</v>
      </c>
    </row>
    <row r="33" spans="1:12">
      <c r="A33" s="31">
        <v>32</v>
      </c>
      <c r="B33" s="18" t="s">
        <v>253</v>
      </c>
      <c r="C33" s="18" t="s">
        <v>553</v>
      </c>
      <c r="D33" s="18" t="s">
        <v>13</v>
      </c>
      <c r="E33" s="18" t="s">
        <v>641</v>
      </c>
      <c r="F33" s="25">
        <v>5</v>
      </c>
      <c r="L33" t="s">
        <v>482</v>
      </c>
    </row>
    <row r="34" spans="1:12">
      <c r="A34" s="31">
        <v>33</v>
      </c>
      <c r="B34" s="18" t="s">
        <v>270</v>
      </c>
      <c r="C34" s="18" t="s">
        <v>554</v>
      </c>
      <c r="D34" s="18" t="s">
        <v>13</v>
      </c>
      <c r="E34" s="18" t="s">
        <v>641</v>
      </c>
      <c r="F34" s="25">
        <v>5</v>
      </c>
      <c r="L34" t="s">
        <v>482</v>
      </c>
    </row>
    <row r="35" spans="1:12">
      <c r="A35" s="31">
        <v>34</v>
      </c>
      <c r="B35" s="18" t="s">
        <v>288</v>
      </c>
      <c r="C35" s="18" t="s">
        <v>555</v>
      </c>
      <c r="D35" s="18" t="s">
        <v>13</v>
      </c>
      <c r="E35" s="18" t="s">
        <v>641</v>
      </c>
      <c r="F35" s="25">
        <v>5</v>
      </c>
      <c r="L35" t="s">
        <v>482</v>
      </c>
    </row>
    <row r="36" spans="1:12">
      <c r="A36" s="31">
        <v>35</v>
      </c>
      <c r="B36" s="18" t="s">
        <v>289</v>
      </c>
      <c r="C36" s="18" t="s">
        <v>556</v>
      </c>
      <c r="D36" s="18" t="s">
        <v>13</v>
      </c>
      <c r="E36" s="18" t="s">
        <v>641</v>
      </c>
      <c r="F36" s="25">
        <v>5</v>
      </c>
      <c r="L36" t="s">
        <v>482</v>
      </c>
    </row>
    <row r="37" spans="1:12">
      <c r="A37" s="31">
        <v>36</v>
      </c>
      <c r="B37" s="18" t="s">
        <v>290</v>
      </c>
      <c r="C37" s="18" t="s">
        <v>557</v>
      </c>
      <c r="D37" s="18" t="s">
        <v>13</v>
      </c>
      <c r="E37" s="18" t="s">
        <v>641</v>
      </c>
      <c r="F37" s="25">
        <v>5</v>
      </c>
      <c r="L37" t="s">
        <v>482</v>
      </c>
    </row>
    <row r="38" spans="1:12">
      <c r="A38" s="31">
        <v>37</v>
      </c>
      <c r="B38" s="18" t="s">
        <v>291</v>
      </c>
      <c r="C38" s="18" t="s">
        <v>558</v>
      </c>
      <c r="D38" s="18" t="s">
        <v>13</v>
      </c>
      <c r="E38" s="18" t="s">
        <v>641</v>
      </c>
      <c r="F38" s="25">
        <v>5</v>
      </c>
      <c r="L38" t="s">
        <v>482</v>
      </c>
    </row>
    <row r="39" spans="1:12">
      <c r="A39" s="31">
        <v>38</v>
      </c>
      <c r="B39" s="18" t="s">
        <v>307</v>
      </c>
      <c r="C39" s="18" t="s">
        <v>559</v>
      </c>
      <c r="D39" s="18" t="s">
        <v>13</v>
      </c>
      <c r="E39" s="18" t="s">
        <v>641</v>
      </c>
      <c r="F39" s="25">
        <v>5</v>
      </c>
      <c r="L39" t="s">
        <v>482</v>
      </c>
    </row>
    <row r="40" spans="1:12">
      <c r="A40" s="31">
        <v>39</v>
      </c>
      <c r="B40" s="18" t="s">
        <v>321</v>
      </c>
      <c r="C40" s="18" t="s">
        <v>560</v>
      </c>
      <c r="D40" s="18" t="s">
        <v>13</v>
      </c>
      <c r="E40" s="18" t="s">
        <v>641</v>
      </c>
      <c r="F40" s="25">
        <v>5</v>
      </c>
      <c r="L40" t="s">
        <v>482</v>
      </c>
    </row>
    <row r="41" spans="1:12">
      <c r="A41" s="31">
        <v>40</v>
      </c>
      <c r="B41" s="18" t="s">
        <v>322</v>
      </c>
      <c r="C41" s="18" t="s">
        <v>561</v>
      </c>
      <c r="D41" s="18" t="s">
        <v>13</v>
      </c>
      <c r="E41" s="18" t="s">
        <v>641</v>
      </c>
      <c r="F41" s="25">
        <v>5</v>
      </c>
      <c r="L41" t="s">
        <v>482</v>
      </c>
    </row>
    <row r="42" spans="1:12" ht="15" thickBot="1">
      <c r="A42" s="31">
        <v>41</v>
      </c>
      <c r="B42" s="18" t="s">
        <v>340</v>
      </c>
      <c r="C42" s="18" t="s">
        <v>562</v>
      </c>
      <c r="D42" s="18" t="s">
        <v>13</v>
      </c>
      <c r="E42" s="18" t="s">
        <v>641</v>
      </c>
      <c r="F42" s="25">
        <v>5</v>
      </c>
      <c r="L42" t="s">
        <v>482</v>
      </c>
    </row>
    <row r="43" spans="1:12" ht="16.2" thickBot="1">
      <c r="A43" s="31">
        <v>42</v>
      </c>
      <c r="B43" s="4" t="s">
        <v>427</v>
      </c>
      <c r="C43" s="18" t="s">
        <v>562</v>
      </c>
      <c r="D43" s="18" t="s">
        <v>13</v>
      </c>
      <c r="E43" s="18" t="s">
        <v>641</v>
      </c>
      <c r="F43" s="25">
        <v>5</v>
      </c>
      <c r="L43" t="s">
        <v>482</v>
      </c>
    </row>
    <row r="44" spans="1:12" ht="16.2" thickBot="1">
      <c r="A44" s="31">
        <v>42</v>
      </c>
      <c r="B44" s="4" t="s">
        <v>428</v>
      </c>
      <c r="C44" s="18" t="s">
        <v>544</v>
      </c>
      <c r="D44" s="18" t="s">
        <v>13</v>
      </c>
      <c r="E44" s="18" t="s">
        <v>641</v>
      </c>
      <c r="F44" s="25">
        <v>5</v>
      </c>
      <c r="L44" t="s">
        <v>482</v>
      </c>
    </row>
    <row r="45" spans="1:12">
      <c r="A45" s="31">
        <v>43</v>
      </c>
      <c r="B45" s="18" t="s">
        <v>442</v>
      </c>
      <c r="C45" s="18" t="s">
        <v>546</v>
      </c>
      <c r="D45" s="18" t="s">
        <v>13</v>
      </c>
      <c r="E45" s="18" t="s">
        <v>641</v>
      </c>
      <c r="F45" s="25">
        <v>5</v>
      </c>
      <c r="L45" t="s">
        <v>482</v>
      </c>
    </row>
    <row r="46" spans="1:12">
      <c r="A46" s="31">
        <v>44</v>
      </c>
      <c r="B46" s="18" t="s">
        <v>465</v>
      </c>
      <c r="C46" s="18" t="s">
        <v>548</v>
      </c>
      <c r="D46" s="18"/>
      <c r="E46" s="18" t="s">
        <v>641</v>
      </c>
      <c r="F46" s="25">
        <v>5</v>
      </c>
      <c r="L46" t="s">
        <v>482</v>
      </c>
    </row>
    <row r="47" spans="1:12">
      <c r="A47" s="31">
        <v>45</v>
      </c>
      <c r="B47" s="19" t="s">
        <v>563</v>
      </c>
      <c r="C47" s="19" t="s">
        <v>550</v>
      </c>
      <c r="D47" s="19"/>
      <c r="E47" s="19" t="s">
        <v>641</v>
      </c>
      <c r="F47" s="34">
        <v>12</v>
      </c>
    </row>
    <row r="48" spans="1:12">
      <c r="A48" s="31">
        <v>46</v>
      </c>
      <c r="B48" s="38" t="s">
        <v>341</v>
      </c>
      <c r="C48" s="38" t="s">
        <v>564</v>
      </c>
      <c r="D48" s="38" t="s">
        <v>13</v>
      </c>
      <c r="E48" s="18" t="s">
        <v>642</v>
      </c>
      <c r="F48" s="39">
        <v>6</v>
      </c>
      <c r="L48" t="s">
        <v>15</v>
      </c>
    </row>
    <row r="49" spans="1:12">
      <c r="A49" s="31">
        <v>47</v>
      </c>
      <c r="B49" s="38" t="s">
        <v>363</v>
      </c>
      <c r="C49" s="38" t="s">
        <v>565</v>
      </c>
      <c r="D49" s="38" t="s">
        <v>13</v>
      </c>
      <c r="E49" s="18" t="s">
        <v>642</v>
      </c>
      <c r="F49" s="39">
        <v>6</v>
      </c>
      <c r="L49" t="s">
        <v>15</v>
      </c>
    </row>
    <row r="50" spans="1:12">
      <c r="A50" s="31">
        <v>48</v>
      </c>
      <c r="B50" s="38" t="s">
        <v>364</v>
      </c>
      <c r="C50" s="38" t="s">
        <v>566</v>
      </c>
      <c r="D50" s="38" t="s">
        <v>13</v>
      </c>
      <c r="E50" s="18" t="s">
        <v>642</v>
      </c>
      <c r="F50" s="39">
        <v>6</v>
      </c>
      <c r="L50" t="s">
        <v>15</v>
      </c>
    </row>
    <row r="51" spans="1:12">
      <c r="A51" s="31">
        <v>49</v>
      </c>
      <c r="B51" s="38" t="s">
        <v>365</v>
      </c>
      <c r="C51" s="38" t="s">
        <v>567</v>
      </c>
      <c r="D51" s="38" t="s">
        <v>13</v>
      </c>
      <c r="E51" s="18" t="s">
        <v>642</v>
      </c>
      <c r="F51" s="39">
        <v>6</v>
      </c>
      <c r="L51" t="s">
        <v>15</v>
      </c>
    </row>
    <row r="52" spans="1:12">
      <c r="A52" s="31">
        <v>50</v>
      </c>
      <c r="B52" s="38" t="s">
        <v>366</v>
      </c>
      <c r="C52" s="38" t="s">
        <v>568</v>
      </c>
      <c r="D52" s="38" t="s">
        <v>13</v>
      </c>
      <c r="E52" s="18" t="s">
        <v>642</v>
      </c>
      <c r="F52" s="39">
        <v>6</v>
      </c>
      <c r="L52" t="s">
        <v>15</v>
      </c>
    </row>
    <row r="53" spans="1:12">
      <c r="A53" s="31">
        <v>51</v>
      </c>
      <c r="B53" s="38" t="s">
        <v>367</v>
      </c>
      <c r="C53" s="38" t="s">
        <v>569</v>
      </c>
      <c r="D53" s="38" t="s">
        <v>13</v>
      </c>
      <c r="E53" s="18" t="s">
        <v>642</v>
      </c>
      <c r="F53" s="39">
        <v>6</v>
      </c>
      <c r="L53" t="s">
        <v>15</v>
      </c>
    </row>
    <row r="54" spans="1:12">
      <c r="A54" s="31">
        <v>52</v>
      </c>
      <c r="B54" s="38" t="s">
        <v>429</v>
      </c>
      <c r="C54" s="38" t="s">
        <v>544</v>
      </c>
      <c r="D54" s="38" t="s">
        <v>13</v>
      </c>
      <c r="E54" s="18" t="s">
        <v>642</v>
      </c>
      <c r="F54" s="39">
        <v>6</v>
      </c>
      <c r="L54" t="s">
        <v>15</v>
      </c>
    </row>
    <row r="55" spans="1:12">
      <c r="A55" s="31">
        <v>52</v>
      </c>
      <c r="B55" s="38" t="s">
        <v>430</v>
      </c>
      <c r="C55" s="38" t="s">
        <v>544</v>
      </c>
      <c r="D55" s="38" t="s">
        <v>13</v>
      </c>
      <c r="E55" s="18" t="s">
        <v>642</v>
      </c>
      <c r="F55" s="39">
        <v>6</v>
      </c>
      <c r="L55" t="s">
        <v>15</v>
      </c>
    </row>
    <row r="56" spans="1:12">
      <c r="A56" s="31">
        <v>53</v>
      </c>
      <c r="B56" s="36" t="s">
        <v>570</v>
      </c>
      <c r="C56" s="36" t="s">
        <v>548</v>
      </c>
      <c r="D56" s="36"/>
      <c r="E56" s="36" t="s">
        <v>642</v>
      </c>
      <c r="F56" s="37">
        <v>11</v>
      </c>
    </row>
    <row r="57" spans="1:12">
      <c r="A57" s="31">
        <v>54</v>
      </c>
      <c r="B57" s="19" t="s">
        <v>563</v>
      </c>
      <c r="C57" s="19" t="s">
        <v>550</v>
      </c>
      <c r="D57" s="19"/>
      <c r="E57" s="19" t="s">
        <v>642</v>
      </c>
      <c r="F57" s="34">
        <v>6</v>
      </c>
    </row>
    <row r="58" spans="1:12">
      <c r="A58" s="31">
        <v>55</v>
      </c>
      <c r="B58" s="18" t="s">
        <v>368</v>
      </c>
      <c r="C58" s="18" t="s">
        <v>571</v>
      </c>
      <c r="D58" s="18" t="s">
        <v>13</v>
      </c>
      <c r="E58" s="18" t="s">
        <v>643</v>
      </c>
      <c r="F58" s="25">
        <v>7</v>
      </c>
      <c r="L58" t="s">
        <v>15</v>
      </c>
    </row>
    <row r="59" spans="1:12">
      <c r="A59" s="31">
        <v>56</v>
      </c>
      <c r="B59" s="18" t="s">
        <v>370</v>
      </c>
      <c r="C59" s="18" t="s">
        <v>572</v>
      </c>
      <c r="D59" s="18" t="s">
        <v>13</v>
      </c>
      <c r="E59" s="18" t="s">
        <v>643</v>
      </c>
      <c r="F59" s="25">
        <v>7</v>
      </c>
      <c r="L59" t="s">
        <v>15</v>
      </c>
    </row>
    <row r="60" spans="1:12">
      <c r="A60" s="31">
        <v>57</v>
      </c>
      <c r="B60" s="18" t="s">
        <v>371</v>
      </c>
      <c r="C60" s="18" t="s">
        <v>573</v>
      </c>
      <c r="D60" s="18" t="s">
        <v>13</v>
      </c>
      <c r="E60" s="18" t="s">
        <v>643</v>
      </c>
      <c r="F60" s="25">
        <v>7</v>
      </c>
      <c r="L60" t="s">
        <v>15</v>
      </c>
    </row>
    <row r="61" spans="1:12">
      <c r="A61" s="31">
        <v>58</v>
      </c>
      <c r="B61" s="18" t="s">
        <v>390</v>
      </c>
      <c r="C61" s="18" t="s">
        <v>574</v>
      </c>
      <c r="D61" s="18" t="s">
        <v>13</v>
      </c>
      <c r="E61" s="18" t="s">
        <v>643</v>
      </c>
      <c r="F61" s="25">
        <v>7</v>
      </c>
      <c r="L61" t="s">
        <v>15</v>
      </c>
    </row>
    <row r="62" spans="1:12">
      <c r="A62" s="31">
        <v>59</v>
      </c>
      <c r="B62" s="18" t="s">
        <v>406</v>
      </c>
      <c r="C62" s="18" t="s">
        <v>575</v>
      </c>
      <c r="D62" s="18" t="s">
        <v>13</v>
      </c>
      <c r="E62" s="18" t="s">
        <v>643</v>
      </c>
      <c r="F62" s="25">
        <v>7</v>
      </c>
      <c r="L62" t="s">
        <v>15</v>
      </c>
    </row>
    <row r="63" spans="1:12">
      <c r="A63" s="31">
        <v>60</v>
      </c>
      <c r="B63" s="18" t="s">
        <v>407</v>
      </c>
      <c r="C63" s="18" t="s">
        <v>576</v>
      </c>
      <c r="D63" s="18" t="s">
        <v>13</v>
      </c>
      <c r="E63" s="18" t="s">
        <v>643</v>
      </c>
      <c r="F63" s="25">
        <v>7</v>
      </c>
      <c r="L63" t="s">
        <v>15</v>
      </c>
    </row>
    <row r="64" spans="1:12">
      <c r="A64" s="31">
        <v>61</v>
      </c>
      <c r="B64" s="18" t="s">
        <v>408</v>
      </c>
      <c r="C64" s="18" t="s">
        <v>577</v>
      </c>
      <c r="D64" s="18" t="s">
        <v>13</v>
      </c>
      <c r="E64" s="18" t="s">
        <v>643</v>
      </c>
      <c r="F64" s="25">
        <v>7</v>
      </c>
      <c r="L64" t="s">
        <v>15</v>
      </c>
    </row>
    <row r="65" spans="1:12">
      <c r="A65" s="31">
        <v>62</v>
      </c>
      <c r="B65" s="18" t="s">
        <v>431</v>
      </c>
      <c r="C65" s="18" t="s">
        <v>544</v>
      </c>
      <c r="D65" s="18" t="s">
        <v>13</v>
      </c>
      <c r="E65" s="18" t="s">
        <v>643</v>
      </c>
      <c r="F65" s="25">
        <v>7</v>
      </c>
      <c r="L65" t="s">
        <v>15</v>
      </c>
    </row>
    <row r="66" spans="1:12">
      <c r="A66" s="31">
        <v>62</v>
      </c>
      <c r="B66" s="18" t="s">
        <v>432</v>
      </c>
      <c r="C66" s="18" t="s">
        <v>544</v>
      </c>
      <c r="D66" s="18" t="s">
        <v>13</v>
      </c>
      <c r="E66" s="18" t="s">
        <v>643</v>
      </c>
      <c r="F66" s="25">
        <v>7</v>
      </c>
      <c r="L66" t="s">
        <v>15</v>
      </c>
    </row>
    <row r="67" spans="1:12">
      <c r="A67" s="31">
        <v>63</v>
      </c>
      <c r="B67" s="36" t="s">
        <v>578</v>
      </c>
      <c r="C67" s="36" t="s">
        <v>548</v>
      </c>
      <c r="D67" s="36"/>
      <c r="E67" s="36" t="s">
        <v>643</v>
      </c>
      <c r="F67" s="37">
        <v>7</v>
      </c>
    </row>
    <row r="68" spans="1:12">
      <c r="A68" s="31">
        <v>64</v>
      </c>
      <c r="B68" s="19" t="s">
        <v>563</v>
      </c>
      <c r="C68" s="19" t="s">
        <v>550</v>
      </c>
      <c r="D68" s="19"/>
      <c r="E68" s="19" t="s">
        <v>643</v>
      </c>
      <c r="F68" s="34">
        <v>12</v>
      </c>
    </row>
    <row r="69" spans="1:12">
      <c r="A69" s="31">
        <v>65</v>
      </c>
      <c r="B69" s="18" t="s">
        <v>409</v>
      </c>
      <c r="C69" s="18" t="s">
        <v>579</v>
      </c>
      <c r="D69" s="18" t="s">
        <v>13</v>
      </c>
      <c r="E69" s="18" t="s">
        <v>644</v>
      </c>
      <c r="F69" s="25">
        <v>8</v>
      </c>
      <c r="L69" t="s">
        <v>15</v>
      </c>
    </row>
    <row r="70" spans="1:12">
      <c r="A70" s="31">
        <v>66</v>
      </c>
      <c r="B70" s="18" t="s">
        <v>411</v>
      </c>
      <c r="C70" s="18" t="s">
        <v>580</v>
      </c>
      <c r="D70" s="18" t="s">
        <v>13</v>
      </c>
      <c r="E70" s="18" t="s">
        <v>644</v>
      </c>
      <c r="F70" s="25">
        <v>8</v>
      </c>
      <c r="L70" t="s">
        <v>15</v>
      </c>
    </row>
    <row r="71" spans="1:12">
      <c r="A71" s="31">
        <v>67</v>
      </c>
      <c r="B71" s="18" t="s">
        <v>412</v>
      </c>
      <c r="C71" s="18" t="s">
        <v>581</v>
      </c>
      <c r="D71" s="18" t="s">
        <v>13</v>
      </c>
      <c r="E71" s="18" t="s">
        <v>644</v>
      </c>
      <c r="F71" s="25">
        <v>8</v>
      </c>
      <c r="L71" t="s">
        <v>15</v>
      </c>
    </row>
    <row r="72" spans="1:12">
      <c r="A72" s="31">
        <v>68</v>
      </c>
      <c r="B72" s="18" t="s">
        <v>413</v>
      </c>
      <c r="C72" s="18" t="s">
        <v>582</v>
      </c>
      <c r="D72" s="18" t="s">
        <v>13</v>
      </c>
      <c r="E72" s="18" t="s">
        <v>644</v>
      </c>
      <c r="F72" s="25">
        <v>8</v>
      </c>
      <c r="L72" t="s">
        <v>15</v>
      </c>
    </row>
    <row r="73" spans="1:12">
      <c r="A73" s="31">
        <v>69</v>
      </c>
      <c r="B73" s="18" t="s">
        <v>414</v>
      </c>
      <c r="C73" s="18" t="s">
        <v>583</v>
      </c>
      <c r="D73" s="18" t="s">
        <v>13</v>
      </c>
      <c r="E73" s="18" t="s">
        <v>644</v>
      </c>
      <c r="F73" s="25">
        <v>8</v>
      </c>
      <c r="L73" t="s">
        <v>15</v>
      </c>
    </row>
    <row r="74" spans="1:12">
      <c r="A74" s="31">
        <v>70</v>
      </c>
      <c r="B74" s="18" t="s">
        <v>415</v>
      </c>
      <c r="C74" s="18" t="s">
        <v>584</v>
      </c>
      <c r="D74" s="18" t="s">
        <v>13</v>
      </c>
      <c r="E74" s="18" t="s">
        <v>644</v>
      </c>
      <c r="F74" s="25">
        <v>8</v>
      </c>
      <c r="L74" t="s">
        <v>15</v>
      </c>
    </row>
    <row r="75" spans="1:12" ht="15" thickBot="1">
      <c r="A75" s="31">
        <v>71</v>
      </c>
      <c r="B75" s="18" t="s">
        <v>416</v>
      </c>
      <c r="C75" s="18" t="s">
        <v>585</v>
      </c>
      <c r="D75" s="18" t="s">
        <v>13</v>
      </c>
      <c r="E75" s="18" t="s">
        <v>644</v>
      </c>
      <c r="F75" s="25">
        <v>8</v>
      </c>
      <c r="L75" t="s">
        <v>15</v>
      </c>
    </row>
    <row r="76" spans="1:12" ht="16.2" thickBot="1">
      <c r="A76" s="31">
        <v>72</v>
      </c>
      <c r="B76" s="4" t="s">
        <v>433</v>
      </c>
      <c r="C76" s="18" t="s">
        <v>544</v>
      </c>
      <c r="D76" s="18" t="s">
        <v>13</v>
      </c>
      <c r="E76" s="18" t="s">
        <v>644</v>
      </c>
      <c r="F76" s="25">
        <v>8</v>
      </c>
      <c r="L76" t="s">
        <v>15</v>
      </c>
    </row>
    <row r="77" spans="1:12" ht="16.2" thickBot="1">
      <c r="A77" s="31">
        <v>73</v>
      </c>
      <c r="B77" s="4" t="s">
        <v>434</v>
      </c>
      <c r="C77" s="18" t="s">
        <v>548</v>
      </c>
      <c r="D77" s="18" t="s">
        <v>13</v>
      </c>
      <c r="E77" s="18" t="s">
        <v>644</v>
      </c>
      <c r="F77" s="25">
        <v>8</v>
      </c>
      <c r="L77" t="s">
        <v>15</v>
      </c>
    </row>
    <row r="78" spans="1:12">
      <c r="A78" s="31">
        <v>74</v>
      </c>
      <c r="B78" s="19" t="s">
        <v>563</v>
      </c>
      <c r="C78" s="19" t="s">
        <v>550</v>
      </c>
      <c r="D78" s="19"/>
      <c r="E78" s="19" t="s">
        <v>644</v>
      </c>
      <c r="F78" s="34">
        <v>8</v>
      </c>
    </row>
    <row r="79" spans="1:12">
      <c r="A79" s="31">
        <v>75</v>
      </c>
      <c r="B79" s="18" t="s">
        <v>417</v>
      </c>
      <c r="C79" s="18" t="s">
        <v>586</v>
      </c>
      <c r="D79" s="18"/>
      <c r="E79" s="18" t="s">
        <v>645</v>
      </c>
      <c r="F79" s="25">
        <v>9</v>
      </c>
    </row>
    <row r="80" spans="1:12">
      <c r="A80" s="31">
        <v>76</v>
      </c>
      <c r="B80" s="18" t="s">
        <v>419</v>
      </c>
      <c r="C80" s="18" t="s">
        <v>587</v>
      </c>
      <c r="D80" s="18"/>
      <c r="E80" s="18" t="s">
        <v>645</v>
      </c>
      <c r="F80" s="25">
        <v>9</v>
      </c>
    </row>
    <row r="81" spans="1:12">
      <c r="A81" s="31">
        <v>77</v>
      </c>
      <c r="B81" s="18" t="s">
        <v>420</v>
      </c>
      <c r="C81" s="18" t="s">
        <v>588</v>
      </c>
      <c r="D81" s="18"/>
      <c r="E81" s="18" t="s">
        <v>645</v>
      </c>
      <c r="F81" s="25">
        <v>9</v>
      </c>
    </row>
    <row r="82" spans="1:12">
      <c r="A82" s="31">
        <v>78</v>
      </c>
      <c r="B82" s="18" t="s">
        <v>421</v>
      </c>
      <c r="C82" s="18" t="s">
        <v>589</v>
      </c>
      <c r="D82" s="18"/>
      <c r="E82" s="18" t="s">
        <v>645</v>
      </c>
      <c r="F82" s="25">
        <v>9</v>
      </c>
    </row>
    <row r="83" spans="1:12">
      <c r="A83" s="31">
        <v>79</v>
      </c>
      <c r="B83" s="18" t="s">
        <v>422</v>
      </c>
      <c r="C83" s="18" t="s">
        <v>590</v>
      </c>
      <c r="D83" s="18"/>
      <c r="E83" s="18" t="s">
        <v>645</v>
      </c>
      <c r="F83" s="25">
        <v>9</v>
      </c>
    </row>
    <row r="84" spans="1:12">
      <c r="A84" s="31">
        <v>80</v>
      </c>
      <c r="B84" t="s">
        <v>435</v>
      </c>
      <c r="C84" s="18" t="s">
        <v>544</v>
      </c>
      <c r="D84" s="18"/>
      <c r="E84" s="18" t="s">
        <v>645</v>
      </c>
      <c r="F84" s="25">
        <v>9</v>
      </c>
    </row>
    <row r="85" spans="1:12" ht="15" customHeight="1">
      <c r="A85" s="31">
        <v>80</v>
      </c>
      <c r="B85" t="s">
        <v>436</v>
      </c>
      <c r="C85" s="18" t="s">
        <v>544</v>
      </c>
      <c r="D85" s="18"/>
      <c r="E85" s="18" t="s">
        <v>645</v>
      </c>
      <c r="F85" s="25">
        <v>9</v>
      </c>
    </row>
    <row r="86" spans="1:12">
      <c r="A86" s="31">
        <v>81</v>
      </c>
      <c r="B86" s="18" t="s">
        <v>469</v>
      </c>
      <c r="C86" s="18" t="s">
        <v>591</v>
      </c>
      <c r="D86" s="18"/>
      <c r="E86" s="18" t="s">
        <v>645</v>
      </c>
      <c r="F86" s="25">
        <v>9</v>
      </c>
    </row>
    <row r="87" spans="1:12">
      <c r="A87" s="31">
        <v>82</v>
      </c>
      <c r="B87" s="19" t="s">
        <v>563</v>
      </c>
      <c r="C87" s="19" t="s">
        <v>550</v>
      </c>
      <c r="D87" s="19"/>
      <c r="E87" s="19" t="s">
        <v>645</v>
      </c>
      <c r="F87" s="34">
        <v>12</v>
      </c>
    </row>
    <row r="88" spans="1:12">
      <c r="A88" s="31">
        <v>83</v>
      </c>
      <c r="B88" s="18" t="s">
        <v>512</v>
      </c>
      <c r="C88" s="18"/>
      <c r="D88" s="18"/>
      <c r="E88" s="18" t="s">
        <v>646</v>
      </c>
      <c r="F88" s="25">
        <v>10</v>
      </c>
    </row>
    <row r="89" spans="1:12">
      <c r="A89" s="31">
        <v>84</v>
      </c>
      <c r="B89" s="18" t="s">
        <v>513</v>
      </c>
      <c r="C89" s="18"/>
      <c r="D89" s="18"/>
      <c r="E89" s="18" t="s">
        <v>646</v>
      </c>
      <c r="F89" s="25">
        <v>10</v>
      </c>
    </row>
    <row r="90" spans="1:12">
      <c r="A90" s="31">
        <v>85</v>
      </c>
      <c r="B90" s="18" t="s">
        <v>514</v>
      </c>
      <c r="C90" s="18"/>
      <c r="D90" s="18"/>
      <c r="E90" s="18" t="s">
        <v>646</v>
      </c>
      <c r="F90" s="25">
        <v>10</v>
      </c>
    </row>
    <row r="91" spans="1:12">
      <c r="A91" s="31">
        <v>86</v>
      </c>
      <c r="B91" s="18" t="s">
        <v>515</v>
      </c>
      <c r="C91" s="18"/>
      <c r="D91" s="18"/>
      <c r="E91" s="18" t="s">
        <v>646</v>
      </c>
      <c r="F91" s="25">
        <v>10</v>
      </c>
    </row>
    <row r="92" spans="1:12">
      <c r="A92" s="31">
        <v>87</v>
      </c>
      <c r="B92" s="18" t="s">
        <v>470</v>
      </c>
      <c r="C92" s="18" t="s">
        <v>592</v>
      </c>
      <c r="D92" s="18" t="s">
        <v>13</v>
      </c>
      <c r="E92" s="18" t="s">
        <v>647</v>
      </c>
      <c r="F92" s="25">
        <v>11</v>
      </c>
      <c r="L92" t="s">
        <v>15</v>
      </c>
    </row>
    <row r="93" spans="1:12">
      <c r="A93" s="31">
        <v>88</v>
      </c>
      <c r="B93" s="18" t="s">
        <v>471</v>
      </c>
      <c r="C93" s="18" t="s">
        <v>593</v>
      </c>
      <c r="D93" s="18" t="s">
        <v>13</v>
      </c>
      <c r="E93" s="18" t="s">
        <v>647</v>
      </c>
      <c r="F93" s="25">
        <v>11</v>
      </c>
      <c r="L93" t="s">
        <v>15</v>
      </c>
    </row>
    <row r="94" spans="1:12" ht="15" thickBot="1">
      <c r="A94" s="31">
        <v>89</v>
      </c>
      <c r="B94" s="18" t="s">
        <v>472</v>
      </c>
      <c r="C94" s="18" t="s">
        <v>594</v>
      </c>
      <c r="D94" s="18" t="s">
        <v>13</v>
      </c>
      <c r="E94" s="18" t="s">
        <v>647</v>
      </c>
      <c r="F94" s="25">
        <v>11</v>
      </c>
      <c r="L94" t="s">
        <v>15</v>
      </c>
    </row>
    <row r="95" spans="1:12" ht="16.95" customHeight="1" thickBot="1">
      <c r="A95" s="31">
        <v>72</v>
      </c>
      <c r="B95" s="4" t="s">
        <v>434</v>
      </c>
      <c r="C95" s="18"/>
      <c r="D95" s="18" t="s">
        <v>13</v>
      </c>
      <c r="E95" s="18"/>
      <c r="F95" s="25"/>
      <c r="L95" t="s">
        <v>15</v>
      </c>
    </row>
    <row r="96" spans="1:12">
      <c r="A96" s="31">
        <v>90</v>
      </c>
      <c r="B96" s="18" t="s">
        <v>473</v>
      </c>
      <c r="C96" s="18" t="s">
        <v>595</v>
      </c>
      <c r="D96" s="18" t="s">
        <v>13</v>
      </c>
      <c r="E96" s="18" t="s">
        <v>647</v>
      </c>
      <c r="F96" s="25">
        <v>11</v>
      </c>
      <c r="L96" t="s">
        <v>15</v>
      </c>
    </row>
    <row r="97" spans="1:13">
      <c r="A97" s="31">
        <v>91</v>
      </c>
      <c r="B97" s="18" t="s">
        <v>467</v>
      </c>
      <c r="C97" s="18" t="s">
        <v>596</v>
      </c>
      <c r="D97" s="18" t="s">
        <v>13</v>
      </c>
      <c r="E97" s="18" t="s">
        <v>647</v>
      </c>
      <c r="F97" s="25">
        <v>11</v>
      </c>
      <c r="L97" t="s">
        <v>15</v>
      </c>
    </row>
    <row r="98" spans="1:13" ht="15" thickBot="1">
      <c r="A98" s="31"/>
      <c r="B98" s="18" t="s">
        <v>468</v>
      </c>
      <c r="C98" s="18"/>
      <c r="D98" s="18" t="s">
        <v>13</v>
      </c>
      <c r="E98" s="18" t="s">
        <v>647</v>
      </c>
      <c r="F98" s="25">
        <v>11</v>
      </c>
      <c r="L98" t="s">
        <v>15</v>
      </c>
    </row>
    <row r="99" spans="1:13" ht="16.2" thickBot="1">
      <c r="A99" s="31">
        <v>92</v>
      </c>
      <c r="B99" s="12" t="s">
        <v>460</v>
      </c>
      <c r="C99" t="s">
        <v>629</v>
      </c>
      <c r="D99" s="18" t="s">
        <v>13</v>
      </c>
      <c r="E99" s="18" t="s">
        <v>647</v>
      </c>
      <c r="F99" s="25">
        <v>11</v>
      </c>
      <c r="L99" t="s">
        <v>15</v>
      </c>
    </row>
    <row r="100" spans="1:13" ht="16.2" thickBot="1">
      <c r="A100" s="31">
        <v>92</v>
      </c>
      <c r="B100" s="4" t="s">
        <v>463</v>
      </c>
      <c r="C100" t="s">
        <v>630</v>
      </c>
      <c r="D100" s="18" t="s">
        <v>13</v>
      </c>
      <c r="E100" s="18" t="s">
        <v>647</v>
      </c>
      <c r="F100" s="25">
        <v>11</v>
      </c>
      <c r="L100" t="s">
        <v>15</v>
      </c>
    </row>
    <row r="101" spans="1:13" ht="16.2" thickBot="1">
      <c r="A101" s="31">
        <v>92</v>
      </c>
      <c r="B101" s="4" t="s">
        <v>464</v>
      </c>
      <c r="C101" t="s">
        <v>631</v>
      </c>
      <c r="D101" s="18" t="s">
        <v>13</v>
      </c>
      <c r="E101" s="18" t="s">
        <v>647</v>
      </c>
      <c r="F101" s="25">
        <v>11</v>
      </c>
      <c r="L101" t="s">
        <v>15</v>
      </c>
    </row>
    <row r="102" spans="1:13" ht="16.2" thickBot="1">
      <c r="A102" s="31">
        <v>92</v>
      </c>
      <c r="B102" s="30" t="s">
        <v>466</v>
      </c>
      <c r="C102" s="18"/>
      <c r="D102" s="18" t="s">
        <v>13</v>
      </c>
      <c r="E102" s="18" t="s">
        <v>647</v>
      </c>
      <c r="F102" s="25">
        <v>11</v>
      </c>
      <c r="L102" t="s">
        <v>15</v>
      </c>
    </row>
    <row r="103" spans="1:13" ht="15" thickBot="1">
      <c r="A103" s="31">
        <v>92</v>
      </c>
      <c r="B103" s="18" t="s">
        <v>597</v>
      </c>
      <c r="C103" s="18" t="s">
        <v>598</v>
      </c>
      <c r="D103" s="18"/>
      <c r="E103" s="18" t="s">
        <v>647</v>
      </c>
      <c r="F103" s="25">
        <v>11</v>
      </c>
    </row>
    <row r="104" spans="1:13" ht="19.2" customHeight="1" thickBot="1">
      <c r="A104" s="31">
        <v>93</v>
      </c>
      <c r="B104" s="23" t="s">
        <v>469</v>
      </c>
      <c r="C104" t="s">
        <v>625</v>
      </c>
      <c r="D104" s="18" t="s">
        <v>13</v>
      </c>
      <c r="E104" s="23" t="s">
        <v>647</v>
      </c>
      <c r="F104" s="27">
        <v>11</v>
      </c>
      <c r="G104" s="22"/>
      <c r="H104" s="22"/>
      <c r="I104" s="22"/>
      <c r="J104" s="22"/>
      <c r="K104" s="22"/>
      <c r="L104" t="s">
        <v>15</v>
      </c>
    </row>
    <row r="105" spans="1:13" ht="19.2" customHeight="1">
      <c r="A105" s="32">
        <v>583</v>
      </c>
      <c r="B105" s="15" t="s">
        <v>437</v>
      </c>
      <c r="C105" s="15" t="s">
        <v>615</v>
      </c>
      <c r="D105" s="18" t="s">
        <v>13</v>
      </c>
      <c r="E105" s="18" t="s">
        <v>647</v>
      </c>
      <c r="F105" s="35" t="s">
        <v>650</v>
      </c>
      <c r="K105" t="s">
        <v>15</v>
      </c>
      <c r="L105" t="s">
        <v>15</v>
      </c>
      <c r="M105" s="15" t="s">
        <v>13</v>
      </c>
    </row>
    <row r="106" spans="1:13" ht="19.2" customHeight="1">
      <c r="A106" s="32">
        <v>584</v>
      </c>
      <c r="B106" s="15" t="s">
        <v>438</v>
      </c>
      <c r="C106" s="15" t="s">
        <v>616</v>
      </c>
      <c r="D106" s="18" t="s">
        <v>13</v>
      </c>
      <c r="E106" s="18" t="s">
        <v>647</v>
      </c>
      <c r="F106" s="35" t="s">
        <v>650</v>
      </c>
      <c r="L106" t="s">
        <v>15</v>
      </c>
      <c r="M106" s="15" t="s">
        <v>13</v>
      </c>
    </row>
    <row r="107" spans="1:13" ht="19.2" customHeight="1">
      <c r="A107" s="32">
        <v>585</v>
      </c>
      <c r="B107" s="15" t="s">
        <v>439</v>
      </c>
      <c r="C107" s="15" t="s">
        <v>617</v>
      </c>
      <c r="D107" s="18" t="s">
        <v>13</v>
      </c>
      <c r="E107" s="18" t="s">
        <v>647</v>
      </c>
      <c r="F107" s="35"/>
      <c r="L107" t="s">
        <v>15</v>
      </c>
      <c r="M107" s="15" t="s">
        <v>13</v>
      </c>
    </row>
    <row r="108" spans="1:13" ht="19.2" customHeight="1">
      <c r="A108" s="32">
        <v>586</v>
      </c>
      <c r="B108" s="15" t="s">
        <v>441</v>
      </c>
      <c r="C108" s="15" t="s">
        <v>618</v>
      </c>
      <c r="D108" s="18" t="s">
        <v>13</v>
      </c>
      <c r="E108" s="18" t="s">
        <v>647</v>
      </c>
      <c r="F108" s="35"/>
      <c r="L108" t="s">
        <v>15</v>
      </c>
      <c r="M108" s="15" t="s">
        <v>13</v>
      </c>
    </row>
    <row r="109" spans="1:13" ht="19.2" customHeight="1">
      <c r="A109" s="32">
        <v>588</v>
      </c>
      <c r="B109" s="15" t="s">
        <v>443</v>
      </c>
      <c r="C109" s="15" t="s">
        <v>619</v>
      </c>
      <c r="D109" s="18" t="s">
        <v>13</v>
      </c>
      <c r="E109" s="18" t="s">
        <v>647</v>
      </c>
      <c r="F109" s="35"/>
      <c r="L109" t="s">
        <v>15</v>
      </c>
      <c r="M109" s="15" t="s">
        <v>13</v>
      </c>
    </row>
    <row r="110" spans="1:13" ht="19.2" customHeight="1">
      <c r="A110" s="32">
        <v>589</v>
      </c>
      <c r="B110" s="15" t="s">
        <v>444</v>
      </c>
      <c r="C110" s="15" t="s">
        <v>620</v>
      </c>
      <c r="D110" s="18" t="s">
        <v>13</v>
      </c>
      <c r="E110" s="18" t="s">
        <v>647</v>
      </c>
      <c r="F110" s="35"/>
      <c r="L110" t="s">
        <v>15</v>
      </c>
      <c r="M110" s="15" t="s">
        <v>13</v>
      </c>
    </row>
    <row r="111" spans="1:13" ht="19.2" customHeight="1">
      <c r="A111" s="32">
        <v>590</v>
      </c>
      <c r="B111" s="15" t="s">
        <v>445</v>
      </c>
      <c r="C111" s="15" t="s">
        <v>621</v>
      </c>
      <c r="D111" s="18" t="s">
        <v>13</v>
      </c>
      <c r="E111" s="18" t="s">
        <v>647</v>
      </c>
      <c r="F111" s="35"/>
      <c r="L111" t="s">
        <v>15</v>
      </c>
      <c r="M111" s="15" t="s">
        <v>13</v>
      </c>
    </row>
    <row r="112" spans="1:13" ht="19.2" customHeight="1">
      <c r="A112" s="32">
        <v>591</v>
      </c>
      <c r="B112" s="15" t="s">
        <v>446</v>
      </c>
      <c r="C112" s="15" t="s">
        <v>622</v>
      </c>
      <c r="D112" s="18" t="s">
        <v>13</v>
      </c>
      <c r="E112" s="18" t="s">
        <v>647</v>
      </c>
      <c r="F112" s="35"/>
      <c r="L112" t="s">
        <v>15</v>
      </c>
      <c r="M112" s="15" t="s">
        <v>13</v>
      </c>
    </row>
    <row r="113" spans="1:13" ht="19.2" customHeight="1">
      <c r="A113" s="32">
        <v>592</v>
      </c>
      <c r="B113" s="15" t="s">
        <v>467</v>
      </c>
      <c r="C113" s="15" t="s">
        <v>623</v>
      </c>
      <c r="D113" s="18" t="s">
        <v>13</v>
      </c>
      <c r="E113" s="18" t="s">
        <v>647</v>
      </c>
      <c r="F113" s="35">
        <v>11</v>
      </c>
      <c r="L113" t="s">
        <v>15</v>
      </c>
      <c r="M113" s="15" t="s">
        <v>13</v>
      </c>
    </row>
    <row r="114" spans="1:13" ht="19.2" customHeight="1">
      <c r="A114" s="32">
        <v>593</v>
      </c>
      <c r="B114" s="15" t="s">
        <v>468</v>
      </c>
      <c r="C114" s="15" t="s">
        <v>624</v>
      </c>
      <c r="D114" s="18" t="s">
        <v>13</v>
      </c>
      <c r="E114" s="18" t="s">
        <v>647</v>
      </c>
      <c r="F114" s="35">
        <v>11</v>
      </c>
      <c r="L114" t="s">
        <v>15</v>
      </c>
      <c r="M114" s="15" t="s">
        <v>13</v>
      </c>
    </row>
    <row r="115" spans="1:13" ht="19.2" customHeight="1">
      <c r="A115" s="32">
        <v>610</v>
      </c>
      <c r="B115" s="15" t="s">
        <v>470</v>
      </c>
      <c r="C115" s="15" t="s">
        <v>633</v>
      </c>
      <c r="D115" s="18" t="s">
        <v>13</v>
      </c>
      <c r="E115" s="18" t="s">
        <v>647</v>
      </c>
      <c r="F115" s="35">
        <v>11</v>
      </c>
      <c r="L115" t="s">
        <v>15</v>
      </c>
      <c r="M115" s="15" t="s">
        <v>13</v>
      </c>
    </row>
    <row r="116" spans="1:13" ht="19.2" customHeight="1">
      <c r="A116" s="32">
        <v>614</v>
      </c>
      <c r="B116" s="15" t="s">
        <v>474</v>
      </c>
      <c r="C116" s="15" t="s">
        <v>634</v>
      </c>
      <c r="D116" s="18" t="s">
        <v>13</v>
      </c>
      <c r="E116" s="18" t="s">
        <v>647</v>
      </c>
      <c r="F116" s="35">
        <v>11</v>
      </c>
      <c r="K116" t="s">
        <v>482</v>
      </c>
      <c r="L116" t="s">
        <v>15</v>
      </c>
      <c r="M116" s="15" t="s">
        <v>13</v>
      </c>
    </row>
    <row r="117" spans="1:13" ht="19.2" customHeight="1">
      <c r="A117" s="32">
        <v>615</v>
      </c>
      <c r="B117" s="15" t="s">
        <v>475</v>
      </c>
      <c r="C117" s="15" t="s">
        <v>635</v>
      </c>
      <c r="D117" s="18" t="s">
        <v>13</v>
      </c>
      <c r="E117" s="18" t="s">
        <v>647</v>
      </c>
      <c r="F117" s="35">
        <v>11</v>
      </c>
      <c r="K117" t="s">
        <v>15</v>
      </c>
      <c r="L117" t="s">
        <v>15</v>
      </c>
      <c r="M117" s="15" t="s">
        <v>13</v>
      </c>
    </row>
    <row r="118" spans="1:13" ht="19.2" customHeight="1" thickBot="1">
      <c r="A118" s="32">
        <v>616</v>
      </c>
      <c r="B118" s="15" t="s">
        <v>476</v>
      </c>
      <c r="C118" s="15" t="s">
        <v>636</v>
      </c>
      <c r="D118" s="18" t="s">
        <v>13</v>
      </c>
      <c r="E118" s="18" t="s">
        <v>647</v>
      </c>
      <c r="F118" s="35">
        <v>11</v>
      </c>
      <c r="K118" t="s">
        <v>15</v>
      </c>
      <c r="L118" t="s">
        <v>15</v>
      </c>
      <c r="M118" s="15" t="s">
        <v>13</v>
      </c>
    </row>
    <row r="119" spans="1:13" ht="19.2" customHeight="1" thickBot="1">
      <c r="A119" s="31">
        <v>94</v>
      </c>
      <c r="B119" s="23" t="s">
        <v>516</v>
      </c>
      <c r="C119" s="23"/>
      <c r="D119" s="23"/>
      <c r="E119" s="23" t="s">
        <v>647</v>
      </c>
      <c r="F119" s="27">
        <v>11</v>
      </c>
      <c r="G119" s="22"/>
      <c r="H119" s="22"/>
      <c r="I119" s="22"/>
      <c r="J119" s="22"/>
      <c r="K119" s="22"/>
    </row>
    <row r="120" spans="1:13" ht="19.2" customHeight="1" thickBot="1">
      <c r="A120" s="31">
        <v>95</v>
      </c>
      <c r="B120" s="24" t="s">
        <v>451</v>
      </c>
      <c r="C120" s="24" t="s">
        <v>599</v>
      </c>
      <c r="D120" s="18" t="s">
        <v>13</v>
      </c>
      <c r="E120" s="24" t="s">
        <v>648</v>
      </c>
      <c r="F120" s="28">
        <v>12</v>
      </c>
      <c r="G120" s="22"/>
      <c r="H120" s="22"/>
      <c r="I120" s="22"/>
      <c r="J120" s="22"/>
      <c r="K120" s="22"/>
      <c r="L120" t="s">
        <v>15</v>
      </c>
    </row>
    <row r="121" spans="1:13" ht="19.2" customHeight="1" thickBot="1">
      <c r="A121" s="31">
        <v>96</v>
      </c>
      <c r="B121" s="24" t="s">
        <v>600</v>
      </c>
      <c r="C121" s="24" t="s">
        <v>601</v>
      </c>
      <c r="D121" s="18" t="s">
        <v>13</v>
      </c>
      <c r="E121" s="24" t="s">
        <v>648</v>
      </c>
      <c r="F121" s="28">
        <v>12</v>
      </c>
      <c r="G121" s="22"/>
      <c r="H121" s="22"/>
      <c r="I121" s="22"/>
      <c r="J121" s="22"/>
      <c r="K121" s="22"/>
      <c r="L121" t="s">
        <v>15</v>
      </c>
    </row>
    <row r="122" spans="1:13" ht="19.2" customHeight="1" thickBot="1">
      <c r="A122" s="31">
        <v>97</v>
      </c>
      <c r="B122" s="24" t="s">
        <v>454</v>
      </c>
      <c r="C122" s="24" t="s">
        <v>602</v>
      </c>
      <c r="D122" s="18" t="s">
        <v>13</v>
      </c>
      <c r="E122" s="24" t="s">
        <v>648</v>
      </c>
      <c r="F122" s="28">
        <v>12</v>
      </c>
      <c r="G122" s="22"/>
      <c r="H122" s="22"/>
      <c r="I122" s="22"/>
      <c r="J122" s="22"/>
      <c r="K122" s="22"/>
      <c r="L122" t="s">
        <v>15</v>
      </c>
    </row>
    <row r="123" spans="1:13" ht="15" thickBot="1">
      <c r="A123" s="32">
        <v>598</v>
      </c>
      <c r="B123" s="15" t="s">
        <v>457</v>
      </c>
      <c r="C123" s="15" t="s">
        <v>626</v>
      </c>
      <c r="D123" s="18" t="s">
        <v>13</v>
      </c>
      <c r="E123" s="24" t="s">
        <v>648</v>
      </c>
      <c r="F123" s="28">
        <v>12</v>
      </c>
      <c r="L123" t="s">
        <v>15</v>
      </c>
      <c r="M123" t="s">
        <v>13</v>
      </c>
    </row>
    <row r="124" spans="1:13" ht="15" thickBot="1">
      <c r="A124" s="32">
        <v>599</v>
      </c>
      <c r="B124" s="15" t="s">
        <v>459</v>
      </c>
      <c r="C124" s="15" t="s">
        <v>627</v>
      </c>
      <c r="D124" s="18" t="s">
        <v>13</v>
      </c>
      <c r="E124" s="24" t="s">
        <v>648</v>
      </c>
      <c r="F124" s="28">
        <v>12</v>
      </c>
      <c r="L124" t="s">
        <v>15</v>
      </c>
      <c r="M124" t="s">
        <v>13</v>
      </c>
    </row>
    <row r="125" spans="1:13" ht="15" thickBot="1">
      <c r="A125" s="32">
        <v>600</v>
      </c>
      <c r="B125" s="15" t="s">
        <v>458</v>
      </c>
      <c r="C125" s="15" t="s">
        <v>628</v>
      </c>
      <c r="D125" s="18" t="s">
        <v>13</v>
      </c>
      <c r="E125" s="24" t="s">
        <v>648</v>
      </c>
      <c r="F125" s="28">
        <v>12</v>
      </c>
      <c r="L125" t="s">
        <v>15</v>
      </c>
      <c r="M125" t="s">
        <v>13</v>
      </c>
    </row>
    <row r="126" spans="1:13" ht="15" thickBot="1">
      <c r="A126" s="32">
        <v>607</v>
      </c>
      <c r="B126" s="15" t="s">
        <v>455</v>
      </c>
      <c r="C126" s="15" t="s">
        <v>632</v>
      </c>
      <c r="D126" s="18" t="s">
        <v>13</v>
      </c>
      <c r="E126" s="24" t="s">
        <v>648</v>
      </c>
      <c r="F126" s="28">
        <v>12</v>
      </c>
      <c r="L126" t="s">
        <v>15</v>
      </c>
      <c r="M126" t="s">
        <v>13</v>
      </c>
    </row>
    <row r="127" spans="1:13" ht="19.2" customHeight="1" thickBot="1">
      <c r="A127" s="31">
        <v>98</v>
      </c>
      <c r="B127" s="23" t="s">
        <v>475</v>
      </c>
      <c r="C127" s="23" t="s">
        <v>603</v>
      </c>
      <c r="D127" s="18" t="s">
        <v>13</v>
      </c>
      <c r="E127" s="23" t="s">
        <v>638</v>
      </c>
      <c r="F127" s="27">
        <v>13</v>
      </c>
      <c r="G127" s="22"/>
      <c r="H127" s="22"/>
      <c r="I127" s="22"/>
      <c r="J127" s="22"/>
      <c r="K127" s="22"/>
      <c r="L127" t="s">
        <v>15</v>
      </c>
    </row>
    <row r="128" spans="1:13" ht="19.2" customHeight="1" thickBot="1">
      <c r="A128" s="31">
        <v>99</v>
      </c>
      <c r="B128" s="23" t="s">
        <v>476</v>
      </c>
      <c r="C128" s="23" t="s">
        <v>604</v>
      </c>
      <c r="D128" s="18" t="s">
        <v>13</v>
      </c>
      <c r="E128" s="23" t="s">
        <v>638</v>
      </c>
      <c r="F128" s="27">
        <v>13</v>
      </c>
      <c r="G128" s="22"/>
      <c r="H128" s="22"/>
      <c r="I128" s="22"/>
      <c r="J128" s="22"/>
      <c r="K128" s="22"/>
      <c r="L128" t="s">
        <v>15</v>
      </c>
    </row>
    <row r="129" spans="1:12" ht="19.2" customHeight="1" thickBot="1">
      <c r="A129" s="31">
        <v>100</v>
      </c>
      <c r="B129" s="23" t="s">
        <v>517</v>
      </c>
      <c r="C129" s="23"/>
      <c r="D129" s="23"/>
      <c r="E129" s="23" t="s">
        <v>638</v>
      </c>
      <c r="F129" s="27">
        <v>13</v>
      </c>
      <c r="G129" s="22"/>
      <c r="H129" s="22"/>
      <c r="I129" s="22"/>
      <c r="J129" s="22"/>
      <c r="K129" s="22"/>
    </row>
    <row r="130" spans="1:12" ht="19.2" customHeight="1" thickBot="1">
      <c r="A130" s="31">
        <v>101</v>
      </c>
      <c r="B130" s="23" t="s">
        <v>518</v>
      </c>
      <c r="C130" s="23"/>
      <c r="D130" s="23"/>
      <c r="E130" s="23" t="s">
        <v>638</v>
      </c>
      <c r="F130" s="27">
        <v>13</v>
      </c>
      <c r="G130" s="22"/>
      <c r="H130" s="22"/>
      <c r="I130" s="22"/>
      <c r="J130" s="22"/>
      <c r="K130" s="22"/>
    </row>
    <row r="131" spans="1:12" ht="19.2" customHeight="1" thickBot="1">
      <c r="A131" s="31">
        <v>102</v>
      </c>
      <c r="B131" s="23" t="s">
        <v>563</v>
      </c>
      <c r="C131" s="23" t="s">
        <v>550</v>
      </c>
      <c r="D131" s="23"/>
      <c r="E131" s="23" t="s">
        <v>638</v>
      </c>
      <c r="F131" s="27">
        <v>13</v>
      </c>
      <c r="G131" s="22"/>
      <c r="H131" s="22"/>
      <c r="I131" s="22"/>
      <c r="J131" s="22"/>
      <c r="K131" s="22"/>
    </row>
    <row r="132" spans="1:12" ht="19.2" customHeight="1" thickBot="1">
      <c r="A132" s="31">
        <v>106</v>
      </c>
      <c r="B132" s="41" t="s">
        <v>481</v>
      </c>
      <c r="C132" s="41" t="s">
        <v>529</v>
      </c>
      <c r="D132" s="41" t="s">
        <v>13</v>
      </c>
      <c r="E132" s="41" t="s">
        <v>649</v>
      </c>
      <c r="F132" s="42">
        <v>14</v>
      </c>
      <c r="G132" s="22"/>
      <c r="H132" s="22"/>
      <c r="I132" s="22"/>
      <c r="J132" s="22"/>
      <c r="K132" s="22"/>
      <c r="L132" t="s">
        <v>482</v>
      </c>
    </row>
    <row r="133" spans="1:12" ht="19.2" customHeight="1" thickBot="1">
      <c r="A133" s="31">
        <v>107</v>
      </c>
      <c r="B133" s="23" t="s">
        <v>483</v>
      </c>
      <c r="C133" s="23" t="s">
        <v>608</v>
      </c>
      <c r="D133" s="41" t="s">
        <v>13</v>
      </c>
      <c r="E133" s="23" t="s">
        <v>649</v>
      </c>
      <c r="F133" s="27">
        <v>14</v>
      </c>
      <c r="G133" s="22"/>
      <c r="H133" s="22"/>
      <c r="I133" s="22"/>
      <c r="J133" s="22"/>
      <c r="K133" s="22"/>
      <c r="L133" t="s">
        <v>482</v>
      </c>
    </row>
    <row r="134" spans="1:12" ht="19.2" customHeight="1" thickBot="1">
      <c r="A134" s="31">
        <v>103</v>
      </c>
      <c r="B134" s="23" t="s">
        <v>477</v>
      </c>
      <c r="C134" s="23" t="s">
        <v>605</v>
      </c>
      <c r="D134" s="41" t="s">
        <v>13</v>
      </c>
      <c r="E134" s="23" t="s">
        <v>649</v>
      </c>
      <c r="F134" s="27">
        <v>14</v>
      </c>
      <c r="G134" s="22"/>
      <c r="H134" s="22"/>
      <c r="I134" s="22"/>
      <c r="J134" s="22"/>
      <c r="K134" s="22"/>
      <c r="L134" t="s">
        <v>482</v>
      </c>
    </row>
    <row r="135" spans="1:12" ht="15" thickBot="1">
      <c r="B135" s="23" t="s">
        <v>479</v>
      </c>
      <c r="C135" s="23" t="s">
        <v>606</v>
      </c>
      <c r="D135" s="23" t="s">
        <v>13</v>
      </c>
      <c r="E135" s="23" t="s">
        <v>649</v>
      </c>
      <c r="F135" s="27">
        <v>14</v>
      </c>
      <c r="L135" t="s">
        <v>482</v>
      </c>
    </row>
    <row r="136" spans="1:12" ht="15" thickBot="1">
      <c r="B136" s="44" t="s">
        <v>480</v>
      </c>
      <c r="C136" s="44" t="s">
        <v>607</v>
      </c>
      <c r="D136" s="44"/>
      <c r="E136" s="23" t="s">
        <v>649</v>
      </c>
      <c r="F136" s="27">
        <v>14</v>
      </c>
      <c r="L136" t="s">
        <v>482</v>
      </c>
    </row>
    <row r="137" spans="1:12" ht="19.2" customHeight="1" thickBot="1">
      <c r="A137" s="31">
        <v>108</v>
      </c>
      <c r="B137" s="23" t="s">
        <v>484</v>
      </c>
      <c r="C137" s="23" t="s">
        <v>609</v>
      </c>
      <c r="D137" s="23"/>
      <c r="E137" s="23" t="s">
        <v>649</v>
      </c>
      <c r="F137" s="27">
        <v>14</v>
      </c>
      <c r="G137" s="22"/>
      <c r="H137" s="22"/>
      <c r="I137" s="22"/>
      <c r="J137" s="22"/>
      <c r="K137" s="22"/>
    </row>
    <row r="138" spans="1:12" ht="19.2" customHeight="1" thickBot="1">
      <c r="A138" s="31">
        <v>109</v>
      </c>
      <c r="B138" s="23" t="s">
        <v>485</v>
      </c>
      <c r="C138" s="23" t="s">
        <v>610</v>
      </c>
      <c r="D138" s="23"/>
      <c r="E138" s="23" t="s">
        <v>649</v>
      </c>
      <c r="F138" s="27">
        <v>14</v>
      </c>
      <c r="G138" s="22"/>
      <c r="H138" s="22"/>
      <c r="I138" s="22"/>
      <c r="J138" s="22"/>
      <c r="K138" s="22"/>
    </row>
    <row r="139" spans="1:12" ht="19.2" customHeight="1" thickBot="1">
      <c r="A139" s="31">
        <v>110</v>
      </c>
      <c r="B139" s="23" t="s">
        <v>486</v>
      </c>
      <c r="C139" s="23" t="s">
        <v>611</v>
      </c>
      <c r="D139" s="23"/>
      <c r="E139" s="23" t="s">
        <v>649</v>
      </c>
      <c r="F139" s="27">
        <v>14</v>
      </c>
      <c r="G139" s="22"/>
      <c r="H139" s="22"/>
      <c r="I139" s="22"/>
      <c r="J139" s="22"/>
      <c r="K139" s="22"/>
    </row>
    <row r="140" spans="1:12" ht="19.2" customHeight="1" thickBot="1">
      <c r="A140" s="31">
        <v>111</v>
      </c>
      <c r="B140" s="23" t="s">
        <v>487</v>
      </c>
      <c r="C140" s="23" t="s">
        <v>612</v>
      </c>
      <c r="D140" s="23"/>
      <c r="E140" s="23" t="s">
        <v>649</v>
      </c>
      <c r="F140" s="27">
        <v>14</v>
      </c>
      <c r="G140" s="22"/>
      <c r="H140" s="22"/>
      <c r="I140" s="22"/>
      <c r="J140" s="22"/>
      <c r="K140" s="22"/>
    </row>
    <row r="141" spans="1:12" ht="0.6" customHeight="1">
      <c r="A141" s="32">
        <v>569</v>
      </c>
      <c r="B141" t="s">
        <v>422</v>
      </c>
      <c r="C141" t="s">
        <v>614</v>
      </c>
      <c r="D141" t="s">
        <v>13</v>
      </c>
      <c r="L141">
        <f>VLOOKUP(B141,'[1]Unit Test'!A:J,10,FALSE)</f>
        <v>0</v>
      </c>
    </row>
    <row r="142" spans="1:12" ht="15" thickBot="1">
      <c r="B142" s="23" t="s">
        <v>563</v>
      </c>
      <c r="C142" s="23" t="s">
        <v>550</v>
      </c>
      <c r="D142" s="23"/>
      <c r="E142" s="23" t="s">
        <v>638</v>
      </c>
      <c r="F142" s="27">
        <v>13</v>
      </c>
    </row>
    <row r="144" spans="1:12">
      <c r="C144" s="43" t="s">
        <v>651</v>
      </c>
    </row>
    <row r="146" spans="2:6">
      <c r="B146" s="19" t="s">
        <v>563</v>
      </c>
      <c r="C146" s="19" t="s">
        <v>550</v>
      </c>
      <c r="D146" s="19"/>
      <c r="E146" s="19" t="s">
        <v>641</v>
      </c>
      <c r="F146" s="34">
        <v>12</v>
      </c>
    </row>
    <row r="147" spans="2:6">
      <c r="B147" s="19" t="s">
        <v>563</v>
      </c>
      <c r="C147" s="19" t="s">
        <v>550</v>
      </c>
      <c r="D147" s="19"/>
      <c r="E147" s="19" t="s">
        <v>642</v>
      </c>
      <c r="F147" s="34">
        <v>6</v>
      </c>
    </row>
    <row r="148" spans="2:6">
      <c r="B148" s="19" t="s">
        <v>563</v>
      </c>
      <c r="C148" s="19" t="s">
        <v>550</v>
      </c>
      <c r="D148" s="19"/>
      <c r="E148" s="19" t="s">
        <v>643</v>
      </c>
      <c r="F148" s="34">
        <v>12</v>
      </c>
    </row>
    <row r="149" spans="2:6">
      <c r="B149" s="19" t="s">
        <v>563</v>
      </c>
      <c r="C149" s="19" t="s">
        <v>550</v>
      </c>
      <c r="D149" s="19"/>
      <c r="E149" s="19" t="s">
        <v>644</v>
      </c>
      <c r="F149" s="34">
        <v>8</v>
      </c>
    </row>
    <row r="150" spans="2:6">
      <c r="B150" s="19" t="s">
        <v>563</v>
      </c>
      <c r="C150" s="19" t="s">
        <v>550</v>
      </c>
      <c r="D150" s="19"/>
      <c r="E150" s="19" t="s">
        <v>645</v>
      </c>
      <c r="F150" s="34">
        <v>12</v>
      </c>
    </row>
    <row r="151" spans="2:6" ht="15.6" customHeight="1"/>
  </sheetData>
  <autoFilter ref="A1:L155" xr:uid="{2F8EE910-8E6F-404B-BA4D-060668BC2CAF}">
    <sortState xmlns:xlrd2="http://schemas.microsoft.com/office/spreadsheetml/2017/richdata2" ref="A2:L155">
      <sortCondition ref="A1:A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García Gracia- GRUPO ASSA</dc:creator>
  <cp:lastModifiedBy>Jesús García Gracia- GRUPO ASSA</cp:lastModifiedBy>
  <dcterms:created xsi:type="dcterms:W3CDTF">2026-02-07T10:12:26Z</dcterms:created>
  <dcterms:modified xsi:type="dcterms:W3CDTF">2026-02-16T21:16:29Z</dcterms:modified>
</cp:coreProperties>
</file>