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185BA404-C096-4972-A667-A55EFE9BEAC8}" xr6:coauthVersionLast="47" xr6:coauthVersionMax="47" xr10:uidLastSave="{00000000-0000-0000-0000-000000000000}"/>
  <bookViews>
    <workbookView xWindow="-108" yWindow="-108" windowWidth="23256" windowHeight="12456" activeTab="2" xr2:uid="{00000000-000D-0000-FFFF-FFFF00000000}"/>
  </bookViews>
  <sheets>
    <sheet name="plan test" sheetId="18" r:id="rId1"/>
    <sheet name="lista IA " sheetId="17" r:id="rId2"/>
    <sheet name="Agengtes" sheetId="20" r:id="rId3"/>
    <sheet name="FrontEND 2" sheetId="21" r:id="rId4"/>
    <sheet name="LangGraph" sheetId="22" r:id="rId5"/>
    <sheet name="Suite Test" sheetId="1" r:id="rId6"/>
    <sheet name="Promts" sheetId="2" r:id="rId7"/>
    <sheet name="Unit Test" sheetId="3" r:id="rId8"/>
    <sheet name="Hoja4" sheetId="9" r:id="rId9"/>
    <sheet name="Hoja2" sheetId="11" r:id="rId10"/>
    <sheet name="Agentes" sheetId="5" r:id="rId11"/>
    <sheet name="promt" sheetId="4" r:id="rId12"/>
    <sheet name="lista frontend" sheetId="13" r:id="rId13"/>
    <sheet name="Hoja1" sheetId="19" r:id="rId14"/>
    <sheet name="Prmot frontend" sheetId="14" r:id="rId15"/>
    <sheet name="prmot llm" sheetId="16" r:id="rId16"/>
  </sheets>
  <definedNames>
    <definedName name="_xlnm._FilterDatabase" localSheetId="9" hidden="1">Hoja2!$A$1:$C$112</definedName>
    <definedName name="_xlnm._FilterDatabase" localSheetId="1" hidden="1">'lista IA '!$A$1:$B$236</definedName>
    <definedName name="_xlnm._FilterDatabase" localSheetId="5" hidden="1">'Suite Test'!$A$1:$J$114</definedName>
    <definedName name="_xlnm._FilterDatabase" localSheetId="7"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<sst xmlns="http://schemas.openxmlformats.org/spreadsheetml/2006/main" count="6973" uniqueCount="2306">
  <si>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</si>
  <si>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</si>
  <si>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</si>
  <si>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</si>
  <si>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</si>
  <si>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</si>
  <si>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</si>
  <si>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</si>
  <si>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</si>
  <si>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</si>
  <si>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</si>
  <si>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</si>
  <si>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</si>
  <si>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</si>
  <si>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</si>
  <si>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</si>
  <si>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</si>
  <si>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</si>
  <si>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</si>
  <si>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</si>
  <si>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</si>
  <si>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</si>
  <si>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</si>
  <si>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</si>
  <si>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</si>
  <si>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</si>
  <si>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</si>
  <si>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</si>
  <si>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</si>
  <si>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</si>
  <si>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</si>
  <si>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</si>
  <si>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</si>
  <si>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</si>
  <si>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</si>
  <si>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</si>
  <si>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</si>
  <si>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</si>
  <si>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</si>
  <si>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</si>
  <si>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</si>
  <si>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</si>
  <si>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</si>
  <si>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</si>
  <si>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</si>
  <si>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</si>
  <si>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</si>
  <si>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</si>
  <si>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</si>
  <si>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</si>
  <si>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</si>
  <si>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</si>
  <si>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</si>
  <si>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</si>
  <si>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</si>
  <si>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</si>
  <si>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</si>
  <si>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</si>
  <si>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</si>
  <si>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</si>
  <si>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</si>
  <si>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</si>
  <si>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</si>
  <si>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</si>
  <si>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</si>
  <si>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</si>
  <si>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</si>
  <si>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</si>
  <si>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</si>
  <si>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</si>
  <si>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</si>
  <si>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</si>
  <si>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</si>
  <si>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</si>
  <si>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</si>
  <si>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</si>
  <si>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</si>
  <si>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</si>
  <si>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</si>
  <si>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</si>
  <si>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</si>
  <si>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</si>
  <si>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</si>
  <si>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</si>
  <si>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</si>
  <si>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</si>
  <si>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</si>
  <si>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</si>
  <si>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</si>
  <si>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</si>
  <si>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</si>
  <si>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</si>
  <si>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</si>
  <si>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</si>
  <si>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</si>
  <si>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</si>
  <si>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</si>
  <si>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</si>
  <si>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</si>
  <si>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</si>
  <si>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</si>
  <si>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</si>
  <si>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</si>
  <si>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</si>
  <si>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</si>
  <si>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</si>
  <si>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</si>
  <si>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</si>
  <si>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</si>
  <si>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</si>
  <si>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</si>
  <si>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</si>
  <si>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</si>
  <si>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</si>
  <si>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</si>
  <si>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</si>
  <si>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</si>
  <si>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</si>
  <si>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</si>
  <si>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</si>
  <si>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</si>
  <si>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</si>
  <si>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</si>
  <si>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</si>
  <si>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</si>
  <si>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</si>
  <si>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</si>
  <si>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</si>
  <si>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</si>
  <si>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</si>
  <si>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</si>
  <si>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</si>
  <si>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</si>
  <si>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</si>
  <si>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</si>
  <si>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</si>
  <si>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</si>
  <si>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</si>
  <si>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</si>
  <si>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</si>
  <si>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</si>
  <si>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</si>
  <si>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</si>
  <si>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</si>
  <si>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</si>
  <si>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</si>
  <si>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</si>
  <si>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</si>
  <si>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</si>
  <si>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</si>
  <si>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</si>
  <si>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</si>
  <si>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</si>
  <si>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</si>
  <si>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</si>
  <si>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</si>
  <si>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</si>
  <si>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</si>
  <si>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</si>
  <si>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</si>
  <si>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</si>
  <si>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</si>
  <si>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</si>
  <si>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</si>
  <si>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</si>
  <si>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</si>
  <si>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</si>
  <si>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</si>
  <si>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</si>
  <si>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</si>
  <si>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</si>
  <si>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</si>
  <si>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</si>
  <si>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</si>
  <si>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</si>
  <si>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</si>
  <si>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</si>
  <si>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</si>
  <si>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</si>
  <si>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</si>
  <si>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</si>
  <si>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</si>
  <si>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</si>
  <si>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</si>
  <si>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</si>
  <si>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</si>
  <si>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</si>
  <si>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</si>
  <si>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</si>
  <si>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</si>
  <si>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</si>
  <si>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</si>
  <si>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</si>
  <si>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</si>
  <si>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</si>
  <si>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</si>
  <si>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</si>
  <si>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</si>
  <si>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</si>
  <si>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</si>
  <si>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</si>
  <si>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</si>
  <si>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</si>
  <si>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</si>
  <si>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</si>
  <si>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</si>
  <si>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</si>
  <si>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</si>
  <si>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</si>
  <si>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</si>
  <si>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</si>
  <si>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</si>
  <si>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</si>
  <si>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</si>
  <si>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</si>
  <si>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</si>
  <si>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</si>
  <si>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</si>
  <si>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</si>
  <si>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</si>
  <si>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</si>
  <si>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</si>
  <si>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</si>
  <si>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</si>
  <si>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</si>
  <si>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</si>
  <si>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</si>
  <si>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</si>
  <si>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</si>
  <si>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</si>
  <si>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</si>
  <si>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</si>
  <si>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</si>
  <si>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</si>
  <si>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</si>
  <si>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</si>
  <si>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</si>
  <si>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</si>
  <si>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</si>
  <si>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</si>
  <si>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</si>
  <si>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</si>
  <si>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</si>
  <si>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</si>
  <si>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</si>
  <si>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</si>
  <si>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</si>
  <si>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</si>
  <si>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</si>
  <si>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</si>
  <si>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</si>
  <si>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</si>
  <si>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</si>
  <si>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</si>
  <si>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</si>
  <si>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</si>
  <si>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</si>
  <si>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</si>
  <si>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</si>
  <si>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</si>
  <si>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</si>
  <si>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</si>
  <si>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</si>
  <si>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</si>
  <si>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</si>
  <si>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</si>
  <si>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</si>
  <si>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</si>
  <si>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</si>
  <si>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</si>
  <si>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</si>
  <si>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</si>
  <si>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</si>
  <si>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</si>
  <si>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</si>
  <si>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</si>
  <si>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</si>
  <si>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</si>
  <si>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</si>
  <si>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</si>
  <si>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</si>
  <si>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</si>
  <si>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</si>
  <si>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</si>
  <si>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</si>
  <si>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</si>
  <si>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</si>
  <si>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</si>
  <si>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</si>
  <si>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</si>
  <si>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</si>
  <si>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</si>
  <si>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</si>
  <si>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</si>
  <si>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</si>
  <si>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</si>
  <si>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</si>
  <si>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</si>
  <si>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</si>
  <si>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</si>
  <si>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</si>
  <si>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</si>
  <si>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</si>
  <si>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</si>
  <si>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</si>
  <si>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</si>
  <si>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</si>
  <si>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</si>
  <si>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</si>
  <si>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</si>
  <si>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</si>
  <si>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</si>
  <si>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</si>
  <si>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</si>
  <si>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</si>
  <si>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</si>
  <si>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</si>
  <si>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</si>
  <si>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</si>
  <si>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</si>
  <si>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</si>
  <si>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</si>
  <si>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</si>
  <si>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</si>
  <si>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</si>
  <si>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</si>
  <si>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</si>
  <si>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</si>
  <si>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</si>
  <si>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</si>
  <si>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</si>
  <si>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</si>
  <si>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</si>
  <si>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</si>
  <si>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</si>
  <si>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</si>
  <si>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</si>
  <si>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</si>
  <si>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</si>
  <si>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</si>
  <si>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</si>
  <si>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</si>
  <si>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</si>
  <si>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</si>
  <si>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</si>
  <si>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</si>
  <si>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</si>
  <si>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</si>
  <si>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</si>
  <si>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</si>
  <si>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</si>
  <si>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</si>
  <si>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</si>
  <si>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</si>
  <si>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</si>
  <si>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</si>
  <si>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</si>
  <si>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</si>
  <si>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</si>
  <si>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</si>
  <si>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</si>
  <si>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</si>
  <si>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</si>
  <si>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</si>
  <si>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</si>
  <si>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</si>
  <si>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</si>
  <si>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</si>
  <si>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</si>
  <si>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</si>
  <si>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</si>
  <si>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</si>
  <si>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</si>
  <si>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</si>
  <si>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</si>
  <si>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</si>
  <si>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</si>
  <si>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</si>
  <si>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</si>
  <si>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</si>
  <si>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</si>
  <si>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</si>
  <si>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</si>
  <si>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</si>
  <si>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</si>
  <si>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</si>
  <si>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</si>
  <si>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</si>
  <si>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</si>
  <si>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</si>
  <si>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</si>
  <si>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</si>
  <si>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</si>
  <si>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</si>
  <si>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</si>
  <si>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</si>
  <si>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</si>
  <si>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</si>
  <si>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</si>
  <si>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</si>
  <si>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</si>
  <si>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</si>
  <si>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</si>
  <si>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</si>
  <si>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</si>
  <si>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</si>
  <si>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</si>
  <si>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</si>
  <si>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</si>
  <si>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</si>
  <si>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</si>
  <si>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</si>
  <si>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</si>
  <si>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</si>
  <si>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</si>
  <si>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</si>
  <si>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</si>
  <si>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</si>
  <si>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</si>
  <si>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</si>
  <si>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</si>
  <si>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</si>
  <si>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</si>
  <si>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</si>
  <si>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</si>
  <si>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</si>
  <si>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</si>
  <si>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</si>
  <si>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</si>
  <si>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</si>
  <si>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</si>
  <si>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</si>
  <si>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</si>
  <si>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</si>
  <si>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</si>
  <si>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</si>
  <si>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</si>
  <si>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</si>
  <si>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</si>
  <si>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</si>
  <si>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</si>
  <si>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</si>
  <si>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</si>
  <si>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</si>
  <si>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</si>
  <si>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</si>
  <si>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</si>
  <si>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</si>
  <si>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</si>
  <si>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</si>
  <si>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</si>
  <si>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</si>
  <si>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</si>
  <si>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</si>
  <si>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</si>
  <si>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</si>
  <si>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</si>
  <si>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</si>
  <si>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</si>
  <si>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</si>
  <si>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</si>
  <si>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</si>
  <si>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</si>
  <si>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</si>
  <si>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</si>
  <si>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</si>
  <si>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</si>
  <si>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</si>
  <si>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</si>
  <si>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</si>
  <si>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</si>
  <si>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</si>
  <si>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</si>
  <si>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</si>
  <si>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</si>
  <si>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</si>
  <si>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</si>
  <si>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</si>
  <si>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</si>
  <si>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</si>
  <si>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</si>
  <si>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</si>
  <si>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</si>
  <si>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</si>
  <si>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</si>
  <si>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</si>
  <si>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</si>
  <si>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</si>
  <si>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</si>
  <si>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</si>
  <si>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</si>
  <si>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</si>
  <si>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</si>
  <si>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</si>
  <si>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</si>
  <si>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</si>
  <si>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</si>
  <si>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</si>
  <si>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</si>
  <si>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</si>
  <si>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</si>
  <si>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</si>
  <si>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</si>
  <si>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</si>
  <si>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</si>
  <si>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</si>
  <si>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</si>
  <si>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</si>
  <si>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</si>
  <si>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</si>
  <si>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</si>
  <si>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</si>
  <si>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</si>
  <si>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</si>
  <si>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</si>
  <si>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</si>
  <si>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</si>
  <si>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</si>
  <si>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</si>
  <si>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</si>
  <si>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</si>
  <si>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</si>
  <si>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</si>
  <si>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</si>
  <si>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</si>
  <si>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</si>
  <si>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</si>
  <si>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</si>
  <si>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</si>
  <si>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</si>
  <si>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</si>
  <si>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</si>
  <si>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</si>
  <si>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</si>
  <si>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</si>
  <si>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</si>
  <si>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</si>
  <si>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</si>
  <si>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</si>
  <si>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</si>
  <si>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</si>
  <si>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</si>
  <si>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</si>
  <si>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</si>
  <si>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</si>
  <si>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</si>
  <si>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</si>
  <si>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</si>
  <si>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</si>
  <si>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</si>
  <si>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</si>
  <si>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</si>
  <si>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</si>
  <si>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</si>
  <si>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</si>
  <si>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</si>
  <si>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</si>
  <si>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</si>
  <si>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</si>
  <si>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</si>
  <si>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</si>
  <si>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</si>
  <si>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</si>
  <si>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</si>
  <si>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</si>
  <si>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</si>
  <si>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</si>
  <si>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</si>
  <si>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</si>
  <si>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</si>
  <si>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</si>
  <si>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</si>
  <si>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</si>
  <si>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</si>
  <si>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</si>
  <si>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</si>
  <si>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</si>
  <si>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</si>
  <si>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</si>
  <si>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</si>
  <si>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</si>
  <si>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</si>
  <si>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</si>
  <si>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</si>
  <si>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</si>
  <si>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</si>
  <si>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</si>
  <si>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</si>
  <si>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</si>
  <si>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</si>
  <si>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</si>
  <si>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</si>
  <si>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</si>
  <si>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</si>
  <si>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</si>
  <si>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</si>
  <si>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</si>
  <si>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</si>
  <si>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</si>
  <si>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</si>
  <si>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</si>
  <si>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</si>
  <si>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</si>
  <si>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</si>
  <si>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</si>
  <si>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</si>
  <si>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</si>
  <si>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</si>
  <si>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</si>
  <si>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</si>
  <si>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</si>
  <si>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</si>
  <si>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</si>
  <si>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</si>
  <si>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</si>
  <si>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</si>
  <si>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</si>
  <si>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</si>
  <si>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</si>
  <si>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</si>
  <si>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</si>
  <si>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</si>
  <si>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</si>
  <si>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</si>
  <si>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</si>
  <si>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</si>
  <si>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</si>
  <si>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</si>
  <si>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</si>
  <si>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</si>
  <si>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</si>
  <si>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</si>
  <si>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</si>
  <si>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</si>
  <si>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</si>
  <si>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</si>
  <si>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</si>
  <si>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</si>
  <si>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</si>
  <si>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</si>
  <si>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</si>
  <si>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</si>
  <si>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</si>
  <si>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</si>
  <si>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</si>
  <si>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</si>
  <si>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</si>
  <si>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</si>
  <si>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</si>
  <si>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</si>
  <si>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</si>
  <si>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</si>
  <si>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</si>
  <si>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</si>
  <si>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</si>
  <si>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</si>
  <si>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</si>
  <si>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</si>
  <si>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</si>
  <si>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</si>
  <si>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</si>
  <si>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</si>
  <si>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</si>
  <si>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</si>
  <si>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</si>
  <si>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</si>
  <si>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</si>
  <si>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</si>
  <si>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</si>
  <si>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</si>
  <si>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</si>
  <si>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</si>
  <si>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</si>
  <si>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</si>
  <si>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</si>
  <si>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</si>
  <si>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</si>
  <si>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</si>
  <si>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</si>
  <si>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</si>
  <si>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</si>
  <si>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</si>
  <si>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</si>
  <si>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</si>
  <si>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</si>
  <si>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</si>
  <si>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</si>
  <si>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</si>
  <si>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</si>
  <si>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</si>
  <si>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</si>
  <si>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</si>
  <si>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</si>
  <si>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</si>
  <si>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</si>
  <si>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</si>
  <si>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</si>
  <si>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</si>
  <si>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</si>
  <si>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</si>
  <si>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</si>
  <si>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</si>
  <si>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</si>
  <si>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</si>
  <si>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</si>
  <si>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</si>
  <si>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</si>
  <si>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</si>
  <si>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</si>
  <si>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</si>
  <si>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</si>
  <si>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</si>
  <si>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</si>
  <si>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</si>
  <si>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</si>
  <si>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</si>
  <si>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</si>
  <si>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</si>
  <si>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</si>
  <si>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</si>
  <si>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</si>
  <si>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</si>
  <si>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</si>
  <si>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</si>
  <si>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</si>
  <si>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</si>
  <si>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</si>
  <si>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</si>
  <si>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</si>
  <si>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</si>
  <si>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</si>
  <si>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</si>
  <si>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</si>
  <si>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</si>
  <si>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</si>
  <si>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</si>
  <si>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</si>
  <si>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</si>
  <si>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</si>
  <si>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</si>
  <si>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</si>
  <si>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</si>
  <si>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</si>
  <si>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</si>
  <si>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</si>
  <si>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</si>
  <si>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</si>
  <si>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</si>
  <si>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</si>
  <si>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</si>
  <si>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</si>
  <si>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</si>
  <si>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</si>
  <si>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</si>
  <si>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</si>
  <si>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</si>
  <si>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</si>
  <si>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</si>
  <si>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</si>
  <si>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</si>
  <si>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</si>
  <si>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</si>
  <si>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</si>
  <si>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</si>
  <si>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</si>
  <si>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</si>
  <si>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</si>
  <si>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</si>
  <si>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</si>
  <si>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</si>
  <si>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</si>
  <si>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</si>
  <si>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</si>
  <si>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</si>
  <si>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</si>
  <si>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</si>
  <si>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</si>
  <si>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</si>
  <si>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</si>
  <si>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</si>
  <si>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</si>
  <si>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</si>
  <si>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</si>
  <si>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</si>
  <si>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</si>
  <si>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</si>
  <si>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</si>
  <si>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</si>
  <si>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</si>
  <si>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</si>
  <si>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</si>
  <si>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</si>
  <si>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</si>
  <si>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</si>
  <si>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</si>
  <si>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</si>
  <si>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</si>
  <si>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</si>
  <si>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</si>
  <si>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</si>
  <si>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</si>
  <si>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</si>
  <si>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</si>
  <si>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</si>
  <si>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</si>
  <si>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</si>
  <si>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</si>
  <si>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</si>
  <si>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</si>
  <si>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</si>
  <si>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</si>
  <si>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</si>
  <si>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</si>
  <si>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</si>
  <si>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</si>
  <si>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</si>
  <si>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</si>
  <si>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</si>
  <si>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</si>
  <si>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</si>
  <si>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</si>
  <si>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</si>
  <si>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</si>
  <si>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</si>
  <si>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</si>
  <si>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</si>
  <si>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</si>
  <si>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</si>
  <si>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</si>
  <si>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</si>
  <si>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</si>
  <si>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</si>
  <si>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</si>
  <si>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</si>
  <si>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</si>
  <si>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</si>
  <si>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</si>
  <si>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</si>
  <si>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</si>
  <si>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</si>
  <si>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</si>
  <si>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</si>
  <si>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</si>
  <si>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</si>
  <si>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</si>
  <si>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</si>
  <si>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</si>
  <si>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</si>
  <si>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</si>
  <si>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</si>
  <si>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</si>
  <si>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</si>
  <si>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</si>
  <si>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</si>
  <si>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</si>
  <si>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</si>
  <si>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</si>
  <si>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</si>
  <si>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</si>
  <si>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</si>
  <si>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</si>
  <si>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</si>
  <si>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</si>
  <si>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</si>
  <si>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</si>
  <si>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</si>
  <si>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</si>
  <si>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</si>
  <si>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</si>
  <si>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</si>
  <si>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</si>
  <si>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</si>
  <si>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</si>
  <si>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</si>
  <si>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</si>
  <si>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</si>
  <si>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</si>
  <si>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</si>
  <si>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</si>
  <si>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</si>
  <si>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</si>
  <si>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</si>
  <si>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</si>
  <si>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</si>
  <si>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</si>
  <si>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</si>
  <si>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</si>
  <si>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</si>
  <si>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</si>
  <si>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</si>
  <si>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</si>
  <si>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</si>
  <si>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</si>
  <si>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</si>
  <si>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</si>
  <si>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</si>
  <si>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</si>
  <si>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</si>
  <si>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</si>
  <si>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</si>
  <si>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</si>
  <si>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</si>
  <si>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</si>
  <si>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</si>
  <si>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</si>
  <si>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</si>
  <si>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</si>
  <si>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</si>
  <si>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</si>
  <si>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</si>
  <si>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</si>
  <si>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</si>
  <si>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</si>
  <si>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</si>
  <si>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</si>
  <si>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</si>
  <si>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</si>
  <si>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</si>
  <si>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</si>
  <si>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</si>
  <si>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</si>
  <si>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</si>
  <si>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</si>
  <si>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</si>
  <si>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</si>
  <si>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</si>
  <si>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</si>
  <si>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</si>
  <si>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</si>
  <si>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</si>
  <si>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</si>
  <si>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</si>
  <si>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</si>
  <si>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</si>
  <si>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</si>
  <si>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</si>
  <si>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</si>
  <si>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</si>
  <si>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</si>
  <si>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</si>
  <si>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</si>
  <si>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</si>
  <si>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</si>
  <si>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</si>
  <si>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</si>
  <si>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</si>
  <si>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</si>
  <si>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</si>
  <si>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</si>
  <si>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</si>
  <si>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</si>
  <si>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</si>
  <si>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</si>
  <si>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</si>
  <si>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</si>
  <si>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</si>
  <si>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</si>
  <si>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</si>
  <si>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</si>
  <si>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</si>
  <si>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</si>
  <si>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</si>
  <si>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</si>
  <si>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</si>
  <si>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</si>
  <si>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</si>
  <si>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</si>
  <si>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</si>
  <si>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</si>
  <si>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</si>
  <si>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</si>
  <si>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</si>
  <si>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</si>
  <si>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</si>
  <si>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</si>
  <si>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</si>
  <si>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</si>
  <si>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</si>
  <si>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</si>
  <si>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</si>
  <si>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</si>
  <si>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</si>
  <si>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</si>
  <si>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</si>
  <si>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</si>
  <si>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</si>
  <si>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</si>
  <si>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</si>
  <si>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</si>
  <si>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</si>
  <si>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</si>
  <si>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</si>
  <si>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</si>
  <si>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</si>
  <si>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</si>
  <si>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</si>
  <si>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</si>
  <si>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</si>
  <si>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</si>
  <si>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</si>
  <si>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</si>
  <si>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</si>
  <si>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</si>
  <si>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</si>
  <si>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</si>
  <si>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</si>
  <si>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</si>
  <si>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</si>
  <si>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</si>
  <si>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</si>
  <si>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</si>
  <si>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</si>
  <si>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</si>
  <si>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</si>
  <si>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</si>
  <si>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</si>
  <si>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</si>
  <si>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</si>
  <si>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</si>
  <si>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</si>
  <si>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</si>
  <si>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</si>
  <si>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</si>
  <si>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</si>
  <si>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</si>
  <si>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</si>
  <si>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</si>
  <si>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</si>
  <si>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</si>
  <si>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</si>
  <si>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</si>
  <si>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</si>
  <si>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</si>
  <si>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</si>
  <si>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</si>
  <si>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</si>
  <si>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</si>
  <si>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</si>
  <si>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</si>
  <si>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</si>
  <si>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</si>
  <si>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</si>
  <si>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</si>
  <si>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</si>
  <si>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</si>
  <si>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</si>
  <si>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</si>
  <si>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</si>
  <si>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</si>
  <si>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</si>
  <si>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</si>
  <si>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</si>
  <si>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</si>
  <si>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</si>
  <si>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</si>
  <si>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</si>
  <si>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</si>
  <si>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</si>
  <si>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</si>
  <si>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</si>
  <si>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</si>
  <si>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</si>
  <si>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</si>
  <si>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</si>
  <si>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</si>
  <si>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</si>
  <si>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</si>
  <si>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</si>
  <si>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</si>
  <si>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</si>
  <si>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</si>
  <si>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</si>
  <si>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</si>
  <si>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</si>
  <si>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</si>
  <si>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</si>
  <si>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</si>
  <si>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</si>
  <si>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</si>
  <si>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</si>
  <si>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</si>
  <si>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</si>
  <si>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</si>
  <si>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</si>
  <si>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</si>
  <si>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</si>
  <si>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</si>
  <si>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</si>
  <si>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</si>
  <si>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</si>
  <si>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</si>
  <si>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</si>
  <si>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</si>
  <si>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</si>
  <si>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</si>
  <si>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</si>
  <si>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</si>
  <si>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</si>
  <si>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</si>
  <si>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</si>
  <si>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</si>
  <si>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</si>
  <si>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</si>
  <si>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</si>
  <si>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</si>
  <si>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</si>
  <si>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</si>
  <si>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</si>
  <si>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</si>
  <si>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</si>
  <si>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</si>
  <si>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</si>
  <si>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</si>
  <si>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</si>
  <si>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</si>
  <si>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</si>
  <si>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</si>
  <si>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</si>
  <si>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</si>
  <si>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</si>
  <si>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</si>
  <si>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</si>
  <si>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</si>
  <si>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</si>
  <si>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</si>
  <si>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</si>
  <si>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</si>
  <si>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</si>
  <si>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</si>
  <si>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</si>
  <si>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</si>
  <si>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</si>
  <si>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</si>
  <si>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</si>
  <si>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</si>
  <si>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</si>
  <si>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</si>
  <si>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</si>
  <si>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</si>
  <si>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</si>
  <si>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</si>
  <si>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</si>
  <si>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</si>
  <si>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</si>
  <si>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</si>
  <si>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</si>
  <si>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</si>
  <si>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</si>
  <si>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</si>
  <si>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</si>
  <si>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</si>
  <si>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</si>
  <si>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</si>
  <si>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</si>
  <si>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</si>
  <si>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</si>
  <si>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</si>
  <si>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</si>
  <si>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</si>
  <si>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</si>
  <si>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</si>
  <si>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</si>
  <si>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</si>
  <si>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</si>
  <si>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</si>
  <si>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</si>
  <si>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</si>
  <si>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</si>
  <si>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</si>
  <si>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</si>
  <si>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</si>
  <si>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</si>
  <si>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</si>
  <si>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</si>
  <si>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</si>
  <si>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</si>
  <si>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</si>
  <si>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</si>
  <si>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</si>
  <si>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</si>
  <si>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</si>
  <si>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</si>
  <si>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</si>
  <si>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</si>
  <si>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</si>
  <si>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</si>
  <si>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</si>
  <si>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</si>
  <si>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</si>
  <si>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</si>
  <si>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</si>
  <si>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</si>
  <si>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</si>
  <si>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</si>
  <si>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</si>
  <si>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</si>
  <si>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</si>
  <si>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</si>
  <si>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</si>
  <si>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</si>
  <si>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</si>
  <si>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</si>
  <si>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</si>
  <si>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</si>
  <si>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</si>
  <si>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</si>
  <si>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</si>
  <si>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</si>
  <si>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</si>
  <si>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</si>
  <si>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</si>
  <si>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</si>
  <si>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</si>
  <si>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</si>
  <si>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</si>
  <si>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</si>
  <si>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</si>
  <si>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</si>
  <si>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</si>
  <si>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</si>
  <si>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</si>
  <si>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</si>
  <si>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</si>
  <si>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</si>
  <si>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</si>
  <si>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</si>
  <si>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</si>
  <si>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</si>
  <si>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</si>
  <si>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</si>
  <si>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</si>
  <si>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</si>
  <si>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</si>
  <si>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</si>
  <si>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</si>
  <si>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</si>
  <si>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</si>
  <si>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</si>
  <si>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</si>
  <si>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</si>
  <si>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</si>
  <si>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</si>
  <si>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</si>
  <si>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</si>
  <si>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</si>
  <si>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</si>
  <si>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</si>
  <si>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</si>
  <si>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</si>
  <si>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</si>
  <si>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</si>
  <si>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</si>
  <si>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</si>
  <si>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</si>
  <si>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</si>
  <si>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</si>
  <si>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</si>
  <si>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</si>
  <si>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</si>
  <si>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</si>
  <si>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</si>
  <si>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</si>
  <si>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</si>
  <si>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</si>
  <si>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</si>
  <si>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</si>
  <si>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</si>
  <si>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</si>
  <si>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</si>
  <si>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</si>
  <si>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</si>
  <si>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</si>
  <si>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</si>
  <si>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</si>
  <si>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</si>
  <si>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</si>
  <si>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</si>
  <si>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</si>
  <si>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</si>
  <si>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</si>
  <si>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</si>
  <si>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</si>
  <si>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</si>
  <si>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</si>
  <si>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</si>
  <si>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</si>
  <si>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</si>
  <si>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</si>
  <si>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</si>
  <si>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</si>
  <si>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</si>
  <si>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</si>
  <si>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</si>
  <si>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</si>
  <si>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</si>
  <si>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</si>
  <si>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</si>
  <si>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</si>
  <si>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</si>
  <si>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</si>
  <si>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</si>
  <si>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</si>
  <si>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</si>
  <si>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</si>
  <si>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</si>
  <si>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</si>
  <si>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</si>
  <si>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</si>
  <si>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</si>
  <si>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</si>
  <si>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</si>
  <si>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</si>
  <si>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</si>
  <si>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</si>
  <si>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</si>
  <si>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</si>
  <si>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</si>
  <si>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</si>
  <si>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</si>
  <si>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</si>
  <si>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</si>
  <si>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</si>
  <si>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</si>
  <si>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</si>
  <si>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</si>
  <si>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</si>
  <si>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</si>
  <si>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</si>
  <si>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</si>
  <si>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</si>
  <si>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</si>
  <si>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</si>
  <si>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</si>
  <si>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</si>
  <si>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</si>
  <si>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</si>
  <si>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</si>
  <si>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</si>
  <si>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</si>
  <si>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</si>
  <si>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</si>
  <si>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</si>
  <si>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</si>
  <si>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</si>
  <si>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</si>
  <si>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</si>
  <si>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</si>
  <si>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</si>
  <si>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</si>
  <si>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</si>
  <si>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</si>
  <si>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</si>
  <si>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</si>
  <si>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</si>
  <si>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</si>
  <si>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</si>
  <si>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</si>
  <si>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</si>
  <si>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</si>
  <si>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</si>
  <si>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</si>
  <si>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</si>
  <si>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</si>
  <si>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</si>
  <si>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</si>
  <si>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</si>
  <si>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</si>
  <si>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</si>
  <si>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</si>
  <si>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</si>
  <si>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</si>
  <si>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</si>
  <si>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</si>
  <si>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</si>
  <si>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</si>
  <si>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</si>
  <si>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</si>
  <si>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</si>
  <si>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</si>
  <si>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</si>
  <si>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</si>
  <si>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</si>
  <si>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</si>
  <si>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</si>
  <si>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</si>
  <si>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</si>
  <si>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</si>
  <si>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</si>
  <si>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</si>
  <si>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</si>
  <si>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</si>
  <si>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</si>
  <si>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</si>
  <si>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</si>
  <si>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</si>
  <si>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</si>
  <si>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</si>
  <si>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</si>
  <si>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</si>
  <si>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</si>
  <si>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</si>
  <si>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</si>
  <si>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</si>
  <si>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</si>
  <si>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</si>
  <si>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</si>
  <si>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</si>
  <si>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</si>
  <si>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</si>
  <si>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</si>
  <si>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</si>
  <si>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</si>
  <si>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</si>
  <si>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</si>
  <si>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</si>
  <si>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</si>
  <si>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</si>
  <si>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</si>
  <si>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</si>
  <si>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</si>
  <si>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</si>
  <si>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</si>
  <si>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</si>
  <si>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</si>
  <si>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</si>
  <si>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</si>
  <si>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</si>
  <si>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</si>
  <si>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</si>
  <si>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</si>
  <si>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</si>
  <si>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</si>
  <si>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</si>
  <si>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</si>
  <si>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</si>
  <si>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</si>
  <si>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</si>
  <si>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</si>
  <si>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</si>
  <si>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</si>
  <si>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</si>
  <si>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</si>
  <si>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</si>
  <si>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</si>
  <si>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</si>
  <si>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</si>
  <si>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</si>
  <si>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</si>
  <si>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</si>
  <si>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</si>
  <si>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</si>
  <si>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</si>
  <si>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</si>
  <si>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</si>
  <si>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</si>
  <si>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</si>
  <si>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</si>
  <si>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</si>
  <si>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</si>
  <si>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</si>
  <si>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</si>
  <si>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</si>
  <si>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</si>
  <si>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</si>
  <si>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</si>
  <si>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</si>
  <si>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</si>
  <si>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</si>
  <si>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</si>
  <si>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</si>
  <si>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</si>
  <si>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</si>
  <si>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</si>
  <si>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</si>
  <si>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</si>
  <si>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</si>
  <si>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</si>
  <si>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</si>
  <si>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</si>
  <si>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</si>
  <si>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</si>
  <si>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</si>
  <si>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</si>
  <si>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</si>
  <si>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</si>
  <si>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</si>
  <si>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</si>
  <si>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</si>
  <si>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</si>
  <si>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</si>
  <si>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</si>
  <si>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</si>
  <si>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</si>
  <si>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</si>
  <si>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</si>
  <si>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</si>
  <si>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</si>
  <si>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</si>
  <si>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</si>
  <si>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</si>
  <si>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</si>
  <si>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</si>
  <si>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</si>
  <si>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</si>
  <si>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</si>
  <si>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</si>
  <si>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</si>
  <si>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</si>
  <si>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</si>
  <si>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</si>
  <si>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</si>
  <si>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</si>
  <si>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</si>
  <si>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</si>
  <si>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</si>
  <si>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</si>
  <si>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</si>
  <si>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</si>
  <si>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</si>
  <si>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</si>
  <si>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</si>
  <si>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</si>
  <si>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</si>
  <si>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</si>
  <si>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</si>
  <si>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</si>
  <si>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</si>
  <si>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</si>
  <si>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</si>
  <si>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</si>
  <si>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</si>
  <si>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</si>
  <si>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</si>
  <si>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</si>
  <si>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</si>
  <si>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</si>
  <si>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</si>
  <si>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</si>
  <si>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</si>
  <si>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</si>
  <si>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</si>
  <si>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</si>
  <si>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</si>
  <si>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</si>
  <si>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</si>
  <si>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</si>
  <si>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</si>
  <si>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</si>
  <si>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</si>
  <si>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</si>
  <si>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</si>
  <si>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</si>
  <si>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</si>
  <si>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</si>
  <si>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</si>
  <si>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</si>
  <si>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</si>
  <si>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</si>
  <si>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</si>
  <si>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</si>
  <si>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</si>
  <si>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</si>
  <si>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</si>
  <si>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</si>
  <si>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</si>
  <si>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</si>
  <si>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</si>
  <si>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</si>
  <si>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</si>
  <si>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</si>
  <si>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</si>
  <si>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</si>
  <si>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</si>
  <si>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</si>
  <si>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</si>
  <si>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</si>
  <si>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</si>
  <si>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</si>
  <si>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</si>
  <si>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</si>
  <si>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</si>
  <si>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</si>
  <si>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</si>
  <si>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</si>
  <si>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</si>
  <si>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</si>
  <si>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</si>
  <si>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</si>
  <si>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</si>
  <si>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</si>
  <si>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</si>
  <si>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</si>
  <si>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</si>
  <si>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</si>
  <si>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</si>
  <si>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</si>
  <si>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</si>
  <si>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</si>
  <si>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</si>
  <si>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</si>
  <si>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</si>
  <si>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</si>
  <si>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</si>
  <si>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</si>
  <si>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</si>
  <si>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</si>
  <si>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</si>
  <si>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</si>
  <si>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</si>
  <si>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</si>
  <si>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</si>
  <si>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</si>
  <si>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</si>
  <si>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</si>
  <si>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</si>
  <si>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</si>
  <si>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</si>
  <si>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</si>
  <si>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</si>
  <si>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</si>
  <si>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</si>
  <si>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</si>
  <si>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</si>
  <si>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</si>
  <si>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</si>
  <si>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</si>
  <si>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</si>
  <si>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</si>
  <si>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</si>
  <si>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</si>
  <si>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</si>
  <si>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</si>
  <si>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</si>
  <si>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</si>
  <si>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</si>
  <si>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</si>
  <si>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</si>
  <si>
    <t>detectado issue de seguridad</t>
  </si>
  <si>
    <t>- Coding orchestrator rules live in `agents.md`.</t>
  </si>
  <si>
    <t>- `@planner-agent` rules live in `context/agent_planner.md`.</t>
  </si>
  <si>
    <t>- `@qa-agent` rules live in `context/agent_qa.md`.</t>
  </si>
  <si>
    <t>- `@backend-tdd` agent rules live in `context/agent_backend_tdd.md`.</t>
  </si>
  <si>
    <t>- `@frontend-tdd` agent rules live in `context/agent_frontend_tdd.md`.</t>
  </si>
  <si>
    <t>- `@security-agent` rules live in `context/agent_security.md`.</t>
  </si>
  <si>
    <t>- `@devops-agent` rules live in `context/agent_devops.md`.</t>
  </si>
  <si>
    <t>- `@docs-agent` rules live in `context/agent_doc.md`.</t>
  </si>
  <si>
    <t>- `@product-agent` rules live in `context/agent_product.md`.</t>
  </si>
  <si>
    <t>- Document Upload → Coherence flow (TS-E2E-FLW-DOC-001)</t>
  </si>
  <si>
    <r>
      <t xml:space="preserve">- Multi-tenant isolation (TS-E2E-SEC-TNT-001) - </t>
    </r>
    <r>
      <rPr>
        <i/>
        <sz val="11"/>
        <color theme="1"/>
        <rFont val="Consolas"/>
        <family val="3"/>
      </rPr>
      <t>_In CI but not fully implemented_</t>
    </r>
  </si>
  <si>
    <t>- Alert review workflow (TS-E2E-FLW-ALR-001)</t>
  </si>
  <si>
    <t>- Error recovery scenarios (TS-E2E-ERR-REC-001)</t>
  </si>
  <si>
    <t>`@qa-agent`</t>
  </si>
  <si>
    <t>`@backend-tdd`</t>
  </si>
  <si>
    <t>`@frontend-tdd`</t>
  </si>
  <si>
    <t>`@security-agent`</t>
  </si>
  <si>
    <t>`@docs-agent`</t>
  </si>
  <si>
    <t xml:space="preserve"> @frontend-tdd can then implement GREEN for those new failing tests.</t>
  </si>
  <si>
    <t>E2E pending</t>
  </si>
  <si>
    <t xml:space="preserve"> @qa-agent RED plan for S3-</t>
  </si>
  <si>
    <t xml:space="preserve">                                                                                  </t>
  </si>
  <si>
    <t xml:space="preserve">  1. [S3-12-RED-UNIT-01] Landmark semantics on core shell                         </t>
  </si>
  <si>
    <t xml:space="preserve">     Target: apps/web/src/tests/accessibility/S3-12-landmarks.a11y.test.tsx       </t>
  </si>
  <si>
    <t xml:space="preserve">     Fail condition: missing banner, navigation, main, or contentinfo roles.      </t>
  </si>
  <si>
    <t xml:space="preserve">  2. [S3-12-RED-UNIT-02] Heading hierarchy integrity                              </t>
  </si>
  <si>
    <t xml:space="preserve">     Target: apps/web/src/tests/accessibility/S3-12-headings.a11y.test.tsx        </t>
  </si>
  <si>
    <t xml:space="preserve">     Fail condition: skipped levels or non-linear heading order.                  </t>
  </si>
  <si>
    <t xml:space="preserve">  3. [S3-12-RED-UNIT-03] Control accessibility + focus-visible contract           </t>
  </si>
  <si>
    <t xml:space="preserve">     Target: apps/web/src/tests/accessibility/S3-12-controls.a11y.test.tsx        </t>
  </si>
  <si>
    <t xml:space="preserve">     Fail condition: actionable controls lack accessible name or focus-visible    </t>
  </si>
  <si>
    <t xml:space="preserve">     marker.</t>
  </si>
  <si>
    <t xml:space="preserve">  4. [S3-12-RED-UNIT-04] WCAG AA contrast threshold for critical text             </t>
  </si>
  <si>
    <t xml:space="preserve">     Target: apps/web/src/tests/accessibility/S3-12-contrast.a11y.test.tsx        </t>
  </si>
  <si>
    <t xml:space="preserve">     Fail condition: contrast ratio for critical badge/text &lt; 4.5:1.              </t>
  </si>
  <si>
    <t xml:space="preserve">  5. [S3-12-RED-UNIT-05] Modal focus trap + return-focus behavior                 </t>
  </si>
  <si>
    <t xml:space="preserve">     Target: apps/web/src/tests/accessibility/S3-12-dialog-focus.a11y.test.tsx    </t>
  </si>
  <si>
    <t xml:space="preserve">     Fail condition: focus escapes dialog or trigger focus is not restored on     </t>
  </si>
  <si>
    <t xml:space="preserve">     close.                                                                       </t>
  </si>
  <si>
    <t xml:space="preserve">  6. [S3-12-RED-UNIT-06] Live region update discipline                            </t>
  </si>
  <si>
    <t xml:space="preserve">     Target: apps/web/src/tests/accessibility/S3-12-live-regions.a11y.test.tsx    </t>
  </si>
  <si>
    <t xml:space="preserve">     Fail condition: status not announced or duplicate spam on single transition. </t>
  </si>
  <si>
    <t xml:space="preserve">  7. [S3-12-RED-INT-01] Axe critical violations gate (core shell)                 </t>
  </si>
  <si>
    <t xml:space="preserve">     Target: apps/web/src/tests/integration/a11y/S3-12-axe-                       </t>
  </si>
  <si>
    <t xml:space="preserve">     critical.integration.test.tsx</t>
  </si>
  <si>
    <t xml:space="preserve">     Fail condition: endpoint unavailable or criticalViolations !== 0.            </t>
  </si>
  <si>
    <t xml:space="preserve">  8. [S3-12-RED-INT-02] Keyboard traversal workflow integrity                     </t>
  </si>
  <si>
    <t xml:space="preserve">     Target: apps/web/src/tests/integration/a11y/S3-12-keyboard-                  </t>
  </si>
  <si>
    <t xml:space="preserve">     flow.integration.test.tsx                                                    </t>
  </si>
  <si>
    <t xml:space="preserve">     Fail condition: traps detected or workflow not completable by keyboard.      </t>
  </si>
  <si>
    <t xml:space="preserve">  9. [S3-12-RED-INT-03] Tablet layout clipping/overlap checks                     </t>
  </si>
  <si>
    <t xml:space="preserve">     Target: apps/web/src/tests/integration/responsive/S3-12-tablet-              </t>
  </si>
  <si>
    <t xml:space="preserve">     layout.integration.test.tsx                                                  </t>
  </si>
  <si>
    <t xml:space="preserve">     Fail condition: clipped content or overlapping panels at 768x1024 and        </t>
  </si>
  <si>
    <t xml:space="preserve">     820x1180.                                                                    </t>
  </si>
  <si>
    <t xml:space="preserve">  10. [S3-12-RED-INT-04] Orientation-change state persistence                     </t>
  </si>
  <si>
    <t xml:space="preserve">     Fail condition: active context/state lost after portrait↔landscape switch.   </t>
  </si>
  <si>
    <t xml:space="preserve">  11. [S3-12-RED-INT-05] Reduced-motion + 200% zoom operability                   </t>
  </si>
  <si>
    <t xml:space="preserve">     Target: apps/web/src/tests/integration/a11y/S3-12-accessibility-             </t>
  </si>
  <si>
    <t xml:space="preserve">     modes.integration.test.tsx                                                   </t>
  </si>
  <si>
    <t xml:space="preserve">     Fail condition: mode toggles degrade readability/operability.                </t>
  </si>
  <si>
    <t xml:space="preserve">  12. [S3-12-RED-E2E-01] Route-level a11y critical/blocker smoke                  </t>
  </si>
  <si>
    <t xml:space="preserve">     Target: apps/web/src/tests/e2e/S3-12-a11y-tablet.spec.ts                     </t>
  </si>
  <si>
    <t xml:space="preserve">     Fail condition: non-zero critical/blocker counters on dashboard route.       </t>
  </si>
  <si>
    <t xml:space="preserve">  13. [S3-12-RED-E2E-02] Tablet portrait/landscape sanity on key flows            </t>
  </si>
  <si>
    <t xml:space="preserve">     Target: apps/web/src/tests/e2e/S3-12-a11y-tablet.spec.ts </t>
  </si>
  <si>
    <t> `@planner-agent` rules live in `context/agent_planner.md`.</t>
  </si>
  <si>
    <t> `@planner-agent`</t>
  </si>
  <si>
    <t>`@devops-agent`</t>
  </si>
  <si>
    <t>`@product-agent`</t>
  </si>
  <si>
    <t>`@product write-story [feature_idea]`</t>
  </si>
  <si>
    <t>Translates a raw idea into a formal User Story with BDD (Behavior-Driven Development) "Given/When/Then" Acceptance Criteria.</t>
  </si>
  <si>
    <t>`@product review-ux [component/flow]`</t>
  </si>
  <si>
    <t>Evaluates a frontend UI flow or component design for friction, cognitive load, and alignment with the target personas.</t>
  </si>
  <si>
    <t>@product uat [feature_name]</t>
  </si>
  <si>
    <t>Performs a "Business Review" of a completed feature. You will act as a non-technical end-user trying to use the system and point out logical flaws or confusing UI text.</t>
  </si>
  <si>
    <t>`@product groom-backlog`</t>
  </si>
  <si>
    <t>Reviews the current pending features from the Phase 4 Roadmap and suggests prioritization based on Business Value vs. Risk.</t>
  </si>
  <si>
    <t>red</t>
  </si>
  <si>
    <t>Order |</t>
  </si>
  <si>
    <t>Test ID                   |</t>
  </si>
  <si>
    <t>----- |</t>
  </si>
  <si>
    <t>------------------------- |</t>
  </si>
  <si>
    <t>1     |</t>
  </si>
  <si>
    <t>**TS-CT-WBS-API-001**     |</t>
  </si>
  <si>
    <t>2     |</t>
  </si>
  <si>
    <t>**TS-UD-WBS-001**         |</t>
  </si>
  <si>
    <t>3     |</t>
  </si>
  <si>
    <t>**TS-UAD-WBS-TREE-001**   |</t>
  </si>
  <si>
    <t>4     |</t>
  </si>
  <si>
    <t>**TS-UAD-WBS-CARD-001**   |</t>
  </si>
  <si>
    <t>5     |</t>
  </si>
  <si>
    <t>**TS-UAD-WBS-DETAIL-001** |</t>
  </si>
  <si>
    <t>6     |</t>
  </si>
  <si>
    <t>**TS-INT-NAV-001**        |</t>
  </si>
  <si>
    <t>7     |</t>
  </si>
  <si>
    <t>**TS-CT-API-001**         |</t>
  </si>
  <si>
    <t>8     |</t>
  </si>
  <si>
    <t>**TS-E2E-J1-001**         |</t>
  </si>
  <si>
    <t>9     |</t>
  </si>
  <si>
    <t>**TS-E2E-J2-001**         |</t>
  </si>
  <si>
    <t>12    |</t>
  </si>
  <si>
    <t>**TS-UAD-WBS-FILTER-001** |</t>
  </si>
  <si>
    <t>13    |</t>
  </si>
  <si>
    <t>**TS-UAD-WBS-SEARCH-001** |</t>
  </si>
  <si>
    <t>14    |</t>
  </si>
  <si>
    <t>**TS-UAD-WBS-COLOR-001**  |</t>
  </si>
  <si>
    <t>15    |</t>
  </si>
  <si>
    <t>**TS-UA-WBS-CRUD-001**    |</t>
  </si>
  <si>
    <t>16    |</t>
  </si>
  <si>
    <t>**TS-UD-WBS-002**         |</t>
  </si>
  <si>
    <t>17    |</t>
  </si>
  <si>
    <t>**TS-UD-WBS-003**         |</t>
  </si>
  <si>
    <t>18    |</t>
  </si>
  <si>
    <t>**TS-MOB-WBS-001**        |</t>
  </si>
  <si>
    <t>19    |</t>
  </si>
  <si>
    <t>**TS-A11Y-WBS-001**       |</t>
  </si>
  <si>
    <t>20    |</t>
  </si>
  <si>
    <t>**TS-UAD-WBS-HOOK-001**   |</t>
  </si>
  <si>
    <t>21    |</t>
  </si>
  <si>
    <t>**TS-UAD-PROC-TABLE-001** |</t>
  </si>
  <si>
    <t>22    |</t>
  </si>
  <si>
    <t>**TS-UAD-PROC-CALC-001**  |</t>
  </si>
  <si>
    <t>23    |</t>
  </si>
  <si>
    <t>**TS-UAD-PROC-GANTT-001** |</t>
  </si>
  <si>
    <t>24    |</t>
  </si>
  <si>
    <t>**TS-UAD-PROC-HOOK-001**  |</t>
  </si>
  <si>
    <t>25    |</t>
  </si>
  <si>
    <t>**TS-UAD-PERM-HOOK-001**  |</t>
  </si>
  <si>
    <t xml:space="preserve">Name                                   </t>
  </si>
  <si>
    <t xml:space="preserve"> Type        </t>
  </si>
  <si>
    <t xml:space="preserve"> Owner         </t>
  </si>
  <si>
    <t xml:space="preserve"> File Location                                                 </t>
  </si>
  <si>
    <t xml:space="preserve"> Pri</t>
  </si>
  <si>
    <t xml:space="preserve">-------------------------------------- </t>
  </si>
  <si>
    <t xml:space="preserve"> ----------- </t>
  </si>
  <si>
    <t xml:space="preserve"> ------------- </t>
  </si>
  <si>
    <t xml:space="preserve"> ------------------------------------------------------------- </t>
  </si>
  <si>
    <t xml:space="preserve"> --</t>
  </si>
  <si>
    <t xml:space="preserve">WBS API Contract Tests                 </t>
  </si>
  <si>
    <t xml:space="preserve"> Contract    </t>
  </si>
  <si>
    <t xml:space="preserve"> @backend-tdd  </t>
  </si>
  <si>
    <t xml:space="preserve"> `tests/modules/wbs/adapters/test_wbs_api_contract.py`         </t>
  </si>
  <si>
    <t xml:space="preserve">WBS Item Entity Domain Tests           </t>
  </si>
  <si>
    <t xml:space="preserve"> Unit        </t>
  </si>
  <si>
    <t xml:space="preserve"> `tests/modules/wbs/domain/test_wbs_item_entity.py`            </t>
  </si>
  <si>
    <t>WBS Tree Component Contract Tests      </t>
  </si>
  <si>
    <t xml:space="preserve"> Component   </t>
  </si>
  <si>
    <t xml:space="preserve"> @frontend-tdd </t>
  </si>
  <si>
    <t xml:space="preserve"> `apps/web/components/wbs/__tests__/WBSTree.contract.test.tsx` </t>
  </si>
  <si>
    <t>WBS Item Card Component Tests          </t>
  </si>
  <si>
    <t xml:space="preserve"> `apps/web/components/wbs/__tests__/WBSItemCard.test.tsx`      </t>
  </si>
  <si>
    <t>WBS Item Detail Component Tests        </t>
  </si>
  <si>
    <t xml:space="preserve"> `apps/web/components/wbs/__tests__/WBSItemDetail.test.tsx`    </t>
  </si>
  <si>
    <t xml:space="preserve">Cross-Module Navigation Contract Tests </t>
  </si>
  <si>
    <t xml:space="preserve"> @qa-agent     </t>
  </si>
  <si>
    <t xml:space="preserve"> `apps/web/tests/integration/navigation.contract.test.tsx`     </t>
  </si>
  <si>
    <t>Global API Contract Tests              </t>
  </si>
  <si>
    <t xml:space="preserve"> `tests/contract/test_api_contracts.py`                        </t>
  </si>
  <si>
    <t xml:space="preserve">First-Time Project Setup Journey       </t>
  </si>
  <si>
    <t xml:space="preserve"> E2E         </t>
  </si>
  <si>
    <t xml:space="preserve"> `apps/web/tests/e2e/journeys/journey-1-setup.spec.ts`         </t>
  </si>
  <si>
    <t>Weekly Project Review Journey          </t>
  </si>
  <si>
    <t xml:space="preserve"> `apps/web/tests/e2e/journeys/journey-2-review.spec.ts`        </t>
  </si>
  <si>
    <t>WBS Filter by Status Tests        </t>
  </si>
  <si>
    <t xml:space="preserve"> Hook      </t>
  </si>
  <si>
    <t xml:space="preserve"> `apps/web/hooks/__tests__/useWbsFilter.test.ts`                         </t>
  </si>
  <si>
    <t>WBS Search Tests                  </t>
  </si>
  <si>
    <t xml:space="preserve"> `apps/web/hooks/__tests__/useWbsSearch.test.ts`                         </t>
  </si>
  <si>
    <t>WBS Alert Color Coding Tests      </t>
  </si>
  <si>
    <t xml:space="preserve"> Component </t>
  </si>
  <si>
    <t xml:space="preserve"> `apps/web/components/wbs/__tests__/WBSAlertBadge.test.tsx`              </t>
  </si>
  <si>
    <t>WBS CRUD Use Cases Tests          </t>
  </si>
  <si>
    <t xml:space="preserve"> Unit      </t>
  </si>
  <si>
    <t xml:space="preserve"> `tests/modules/wbs/application/test_wbs_crud.py`                        </t>
  </si>
  <si>
    <t>WBS Hierarchy &amp; Code Tests        </t>
  </si>
  <si>
    <t xml:space="preserve"> `tests/modules/wbs/domain/test_wbs_hierarchy.py`                        </t>
  </si>
  <si>
    <t>WBS Validation Rules Tests        </t>
  </si>
  <si>
    <t xml:space="preserve"> `tests/modules/wbs/domain/test_wbs_validation.py`                       </t>
  </si>
  <si>
    <t xml:space="preserve">WBS Mobile Contract Tests         </t>
  </si>
  <si>
    <t xml:space="preserve"> Mobile    </t>
  </si>
  <si>
    <t xml:space="preserve"> `apps/web/tests/mobile/wbs-mobile.contract.test.tsx`                    </t>
  </si>
  <si>
    <t>WBS Accessibility Contract Tests  </t>
  </si>
  <si>
    <t xml:space="preserve"> A11y      </t>
  </si>
  <si>
    <t xml:space="preserve"> `apps/web/tests/accessibility/wbs-a11y.contract.test.tsx`               </t>
  </si>
  <si>
    <t xml:space="preserve">useWbs Hook Tests                 </t>
  </si>
  <si>
    <t xml:space="preserve"> `apps/web/hooks/__tests__/useWbs.test.ts`                               </t>
  </si>
  <si>
    <t xml:space="preserve">BOM Table Component Tests         </t>
  </si>
  <si>
    <t xml:space="preserve"> `apps/web/components/procurement/__tests__/BOMTable.test.tsx`           </t>
  </si>
  <si>
    <t>Lead Time Calculator Tests        </t>
  </si>
  <si>
    <t xml:space="preserve"> `apps/web/components/procurement/__tests__/LeadTimeCalculator.test.tsx` </t>
  </si>
  <si>
    <t xml:space="preserve">Procurement Gantt Component Tests </t>
  </si>
  <si>
    <t xml:space="preserve"> `apps/web/components/procurement/__tests__/ProcurementGantt.test.tsx`   </t>
  </si>
  <si>
    <t xml:space="preserve">useProcurement Hook Tests         </t>
  </si>
  <si>
    <t xml:space="preserve"> `apps/web/hooks/__tests__/useProcurement.test.ts`                       </t>
  </si>
  <si>
    <t xml:space="preserve">usePermissions Hook Tests         </t>
  </si>
  <si>
    <t xml:space="preserve"> `apps/web/hooks/__tests__/usePermissions.test.ts`                       </t>
  </si>
  <si>
    <t>## Detailed Test Checklist</t>
  </si>
  <si>
    <t>### TS-I13-STATE-001: GraphState &amp; Enums (12 tests)</t>
  </si>
  <si>
    <t>### TS-I13-MAP-001: Category Mappings (8 tests)</t>
  </si>
  <si>
    <t>### TS-I13-EDGE-001: Conditional Edges (14 tests)</t>
  </si>
  <si>
    <t>### TS-I13-NODE-001: Intent Classifier Node (6 tests)</t>
  </si>
  <si>
    <t>### TS-I13-NODE-002: Clause Extractor Node (8 tests)</t>
  </si>
  <si>
    <t>### TS-I13-NODE-003: Entity Extractor Node (9 tests)</t>
  </si>
  <si>
    <t>### TS-I13-NODE-004: Coherence Evaluator Node (10 tests)</t>
  </si>
  <si>
    <t>### TS-I13-NODE-005: HITL Gate Node (6 tests)</t>
  </si>
  <si>
    <t>### TS-I13-NODE-006: Other Nodes (8 tests)</t>
  </si>
  <si>
    <t>### TS-I13-GRAPH-001: Graph Compilation (10 tests)</t>
  </si>
  <si>
    <t>### TS-I13-HITL-001: HITL Interrupts (8 tests)</t>
  </si>
  <si>
    <t>### TS-I13-E2E-001: End-to-End Flow (4 tests)</t>
  </si>
  <si>
    <t xml:space="preserve"> Phase </t>
  </si>
  <si>
    <t xml:space="preserve"> Suites </t>
  </si>
  <si>
    <t xml:space="preserve"> Tests </t>
  </si>
  <si>
    <t xml:space="preserve"> Description </t>
  </si>
  <si>
    <t>-------</t>
  </si>
  <si>
    <t>--------</t>
  </si>
  <si>
    <t>-------------</t>
  </si>
  <si>
    <t xml:space="preserve"> **Phase 1** </t>
  </si>
  <si>
    <t xml:space="preserve"> TS-I13-STATE-001, TS-I13-MAP-001 </t>
  </si>
  <si>
    <t xml:space="preserve"> Foundation: State &amp; Mappings </t>
  </si>
  <si>
    <t xml:space="preserve"> **Phase 2** </t>
  </si>
  <si>
    <t xml:space="preserve"> TS-I13-EDGE-001 </t>
  </si>
  <si>
    <t xml:space="preserve"> Routing Logic </t>
  </si>
  <si>
    <t xml:space="preserve"> **Phase 3** </t>
  </si>
  <si>
    <t xml:space="preserve"> TS-I13-NODE-001 to TS-I13-NODE-005 </t>
  </si>
  <si>
    <t xml:space="preserve"> Core Nodes </t>
  </si>
  <si>
    <t xml:space="preserve"> **Phase 4** </t>
  </si>
  <si>
    <t xml:space="preserve"> TS-I13-NODE-006 </t>
  </si>
  <si>
    <t xml:space="preserve"> Supporting Nodes </t>
  </si>
  <si>
    <t xml:space="preserve"> **Phase 5** </t>
  </si>
  <si>
    <t xml:space="preserve"> TS-I13-GRAPH-001, TS-I13-HITL-001 </t>
  </si>
  <si>
    <t xml:space="preserve"> **Phase 6** </t>
  </si>
  <si>
    <t xml:space="preserve"> TS-I13-E2E-001 </t>
  </si>
  <si>
    <t xml:space="preserve"> End-to-End </t>
  </si>
  <si>
    <t xml:space="preserve"> Suite ID </t>
  </si>
  <si>
    <t xml:space="preserve"> Suite Name </t>
  </si>
  <si>
    <t xml:space="preserve"> File Location </t>
  </si>
  <si>
    <t xml:space="preserve"> Test Count </t>
  </si>
  <si>
    <t xml:space="preserve"> Priority </t>
  </si>
  <si>
    <t>----------</t>
  </si>
  <si>
    <t>------------</t>
  </si>
  <si>
    <t>---------------</t>
  </si>
  <si>
    <t xml:space="preserve"> **TS-I13-STATE-001** </t>
  </si>
  <si>
    <t xml:space="preserve"> GraphState &amp; Enums </t>
  </si>
  <si>
    <t xml:space="preserve"> `tests/unit/core/ai/orchestration/test_state.py` </t>
  </si>
  <si>
    <t xml:space="preserve"> P0 </t>
  </si>
  <si>
    <t xml:space="preserve"> **TS-I13-MAP-001** </t>
  </si>
  <si>
    <t xml:space="preserve"> Category Mappings </t>
  </si>
  <si>
    <t xml:space="preserve"> `tests/unit/core/ai/orchestration/test_mappings.py` </t>
  </si>
  <si>
    <t xml:space="preserve"> **TS-I13-EDGE-001** </t>
  </si>
  <si>
    <t xml:space="preserve"> Conditional Edges </t>
  </si>
  <si>
    <t xml:space="preserve"> `tests/unit/core/ai/orchestration/test_edges.py` </t>
  </si>
  <si>
    <t xml:space="preserve"> **TS-I13-NODE-001** </t>
  </si>
  <si>
    <t xml:space="preserve"> Intent Classifier Node </t>
  </si>
  <si>
    <t xml:space="preserve"> `tests/unit/core/ai/orchestration/nodes/test_intent_classifier.py` </t>
  </si>
  <si>
    <t xml:space="preserve"> **TS-I13-NODE-002** </t>
  </si>
  <si>
    <t xml:space="preserve"> Clause Extractor Node </t>
  </si>
  <si>
    <t xml:space="preserve"> `tests/unit/core/ai/orchestration/nodes/test_clause_extractor.py` </t>
  </si>
  <si>
    <t xml:space="preserve"> **TS-I13-NODE-003** </t>
  </si>
  <si>
    <t xml:space="preserve"> Entity Extractor Node </t>
  </si>
  <si>
    <t xml:space="preserve"> `tests/unit/core/ai/orchestration/nodes/test_entity_extractor.py` </t>
  </si>
  <si>
    <t xml:space="preserve"> **TS-I13-NODE-004** </t>
  </si>
  <si>
    <t xml:space="preserve"> Coherence Evaluator Node </t>
  </si>
  <si>
    <t xml:space="preserve"> `tests/unit/core/ai/orchestration/nodes/test_coherence_evaluator.py` </t>
  </si>
  <si>
    <t xml:space="preserve"> **TS-I13-NODE-005** </t>
  </si>
  <si>
    <t xml:space="preserve"> HITL Gate Node </t>
  </si>
  <si>
    <t xml:space="preserve"> `tests/unit/core/ai/orchestration/nodes/test_hitl_gate.py` </t>
  </si>
  <si>
    <t xml:space="preserve"> **TS-I13-NODE-006** </t>
  </si>
  <si>
    <t xml:space="preserve"> Other Nodes </t>
  </si>
  <si>
    <t xml:space="preserve"> `tests/unit/core/ai/orchestration/nodes/test_other_nodes.py` </t>
  </si>
  <si>
    <t xml:space="preserve"> P1 </t>
  </si>
  <si>
    <t xml:space="preserve"> **TS-I13-GRAPH-001** </t>
  </si>
  <si>
    <t xml:space="preserve"> Graph Compilation </t>
  </si>
  <si>
    <t xml:space="preserve"> `tests/integration/core/ai/orchestration/test_graph.py` </t>
  </si>
  <si>
    <t xml:space="preserve"> **TS-I13-HITL-001** </t>
  </si>
  <si>
    <t xml:space="preserve"> HITL Interrupts </t>
  </si>
  <si>
    <t xml:space="preserve"> `tests/integration/core/ai/orchestration/test_hitl_interrupts.py` </t>
  </si>
  <si>
    <t xml:space="preserve"> **TS-I13-E2E-001** </t>
  </si>
  <si>
    <t xml:space="preserve"> End-to-End Flow </t>
  </si>
  <si>
    <t xml:space="preserve"> `tests/e2e/flows/test_langgraph_orchestration.py` </t>
  </si>
  <si>
    <t xml:space="preserve"> Test ID </t>
  </si>
  <si>
    <t xml:space="preserve"> Test Name </t>
  </si>
  <si>
    <t xml:space="preserve"> Status </t>
  </si>
  <si>
    <t>---------</t>
  </si>
  <si>
    <t>-----------</t>
  </si>
  <si>
    <t xml:space="preserve"> `TS-I13-STATE-001-01` </t>
  </si>
  <si>
    <t xml:space="preserve"> `test_intent_type_enum_values` </t>
  </si>
  <si>
    <t xml:space="preserve"> IntentType has all 7 values (DOCUMENT, PROJECT, STAKEHOLDER, PROCUREMENT, ANALYSIS, COHERENCE, UNKNOWN) </t>
  </si>
  <si>
    <t xml:space="preserve"> ⬜ </t>
  </si>
  <si>
    <t xml:space="preserve"> `TS-I13-STATE-001-02` </t>
  </si>
  <si>
    <t xml:space="preserve"> `test_hitl_status_enum_values` </t>
  </si>
  <si>
    <t xml:space="preserve"> HITLStatus has all 5 values (NOT_REQUIRED, PENDING, APPROVED, REJECTED, ESCALATED) </t>
  </si>
  <si>
    <t xml:space="preserve"> `TS-I13-STATE-001-03` </t>
  </si>
  <si>
    <t xml:space="preserve"> `test_coherence_category_enum_values` </t>
  </si>
  <si>
    <t xml:space="preserve"> CoherenceCategory has all 6 values (SCOPE, BUDGET, QUALITY, TECHNICAL, LEGAL, TIME) </t>
  </si>
  <si>
    <t xml:space="preserve"> `TS-I13-STATE-001-04` </t>
  </si>
  <si>
    <t xml:space="preserve"> `test_default_category_weights_sum_to_one` </t>
  </si>
  <si>
    <t xml:space="preserve"> DEFAULT_CATEGORY_WEIGHTS sum = 1.0 </t>
  </si>
  <si>
    <t xml:space="preserve"> `TS-I13-STATE-001-05` </t>
  </si>
  <si>
    <t xml:space="preserve"> `test_default_category_weights_values` </t>
  </si>
  <si>
    <t xml:space="preserve"> SCOPE=0.20, BUDGET=0.20, QUALITY=0.15, TECHNICAL=0.15, LEGAL=0.15, TIME=0.15 </t>
  </si>
  <si>
    <t xml:space="preserve"> `TS-I13-STATE-001-06` </t>
  </si>
  <si>
    <t xml:space="preserve"> `test_graph_state_identity_fields` </t>
  </si>
  <si>
    <t xml:space="preserve"> GraphState accepts run_id, tenant_id, project_id, user_id </t>
  </si>
  <si>
    <t xml:space="preserve"> `TS-I13-STATE-001-07` </t>
  </si>
  <si>
    <t xml:space="preserve"> `test_graph_state_input_fields` </t>
  </si>
  <si>
    <t xml:space="preserve"> GraphState accepts document_bytes, query </t>
  </si>
  <si>
    <t xml:space="preserve"> `TS-I13-STATE-001-08` </t>
  </si>
  <si>
    <t xml:space="preserve"> `test_graph_state_extraction_fields` </t>
  </si>
  <si>
    <t xml:space="preserve"> GraphState accepts clauses_by_category, extracted_* fields </t>
  </si>
  <si>
    <t xml:space="preserve"> `TS-I13-STATE-001-09` </t>
  </si>
  <si>
    <t xml:space="preserve"> `test_graph_state_coherence_fields` </t>
  </si>
  <si>
    <t xml:space="preserve"> GraphState accepts coherence_subscores, coherence_score, alerts_by_category </t>
  </si>
  <si>
    <t xml:space="preserve"> `TS-I13-STATE-001-10` </t>
  </si>
  <si>
    <t xml:space="preserve"> `test_graph_state_hitl_fields` </t>
  </si>
  <si>
    <t xml:space="preserve"> GraphState accepts hitl_status, hitl_item_id, hitl_approved_by, hitl_approved_at </t>
  </si>
  <si>
    <t xml:space="preserve"> `TS-I13-STATE-001-11` </t>
  </si>
  <si>
    <t xml:space="preserve"> `test_graph_state_optional_fields` </t>
  </si>
  <si>
    <t xml:space="preserve"> All fields are optional (total=False) </t>
  </si>
  <si>
    <t xml:space="preserve"> `TS-I13-STATE-001-12` </t>
  </si>
  <si>
    <t xml:space="preserve"> `test_graph_state_serializable` </t>
  </si>
  <si>
    <t xml:space="preserve"> GraphState can be JSON serialized (excluding bytes) </t>
  </si>
  <si>
    <t xml:space="preserve"> `TS-I13-MAP-001-01` </t>
  </si>
  <si>
    <t xml:space="preserve"> `test_clause_type_time_mapping` </t>
  </si>
  <si>
    <t xml:space="preserve"> Delivery Term, Milestone, Schedule, Deadline, Duration → TIME </t>
  </si>
  <si>
    <t xml:space="preserve"> `TS-I13-MAP-001-02` </t>
  </si>
  <si>
    <t xml:space="preserve"> `test_clause_type_budget_mapping` </t>
  </si>
  <si>
    <t xml:space="preserve"> Payment Obligation, Price, Cost, Invoice, Budget → BUDGET </t>
  </si>
  <si>
    <t xml:space="preserve"> `TS-I13-MAP-001-03` </t>
  </si>
  <si>
    <t xml:space="preserve"> `test_clause_type_scope_mapping` </t>
  </si>
  <si>
    <t xml:space="preserve"> Scope Definition, Deliverable, Work Package, Exclusion → SCOPE </t>
  </si>
  <si>
    <t xml:space="preserve"> `TS-I13-MAP-001-04` </t>
  </si>
  <si>
    <t xml:space="preserve"> `test_clause_type_quality_mapping` </t>
  </si>
  <si>
    <t xml:space="preserve"> Quality Standard, Certification, Inspection, Testing → QUALITY </t>
  </si>
  <si>
    <t xml:space="preserve"> `TS-I13-MAP-001-05` </t>
  </si>
  <si>
    <t xml:space="preserve"> `test_clause_type_technical_mapping` </t>
  </si>
  <si>
    <t xml:space="preserve"> Technical Specification, Requirement, Dependency, Interface → TECHNICAL </t>
  </si>
  <si>
    <t xml:space="preserve"> `TS-I13-MAP-001-06` </t>
  </si>
  <si>
    <t xml:space="preserve"> `test_clause_type_legal_mapping` </t>
  </si>
  <si>
    <t xml:space="preserve"> Penalty, Termination, Warranty, Approval, Liability, Indemnification → LEGAL </t>
  </si>
  <si>
    <t xml:space="preserve"> `TS-I13-MAP-001-07` </t>
  </si>
  <si>
    <t xml:space="preserve"> `test_entity_type_to_category_mapping` </t>
  </si>
  <si>
    <t xml:space="preserve"> dates→TIME, money→BUDGET, standards→QUALITY, penalties→LEGAL, specs→TECHNICAL </t>
  </si>
  <si>
    <t xml:space="preserve"> `TS-I13-MAP-001-08` </t>
  </si>
  <si>
    <t xml:space="preserve"> `test_unknown_clause_type_default` </t>
  </si>
  <si>
    <t xml:space="preserve"> Unknown clause types default to SCOPE or raise </t>
  </si>
  <si>
    <t xml:space="preserve"> `TS-I13-EDGE-001-01` </t>
  </si>
  <si>
    <t xml:space="preserve"> `test_route_by_intent_document` </t>
  </si>
  <si>
    <t xml:space="preserve"> intent=DOCUMENT → "document_ingestion" </t>
  </si>
  <si>
    <t xml:space="preserve"> `TS-I13-EDGE-001-02` </t>
  </si>
  <si>
    <t xml:space="preserve"> `test_route_by_intent_project` </t>
  </si>
  <si>
    <t xml:space="preserve"> intent=PROJECT → "wbs_generator" </t>
  </si>
  <si>
    <t xml:space="preserve"> `TS-I13-EDGE-001-03` </t>
  </si>
  <si>
    <t xml:space="preserve"> `test_route_by_intent_stakeholder` </t>
  </si>
  <si>
    <t xml:space="preserve"> intent=STAKEHOLDER → "stakeholder_extractor" </t>
  </si>
  <si>
    <t xml:space="preserve"> `TS-I13-EDGE-001-04` </t>
  </si>
  <si>
    <t xml:space="preserve"> `test_route_by_intent_procurement` </t>
  </si>
  <si>
    <t xml:space="preserve"> intent=PROCUREMENT → "procurement_planner" </t>
  </si>
  <si>
    <t xml:space="preserve"> `TS-I13-EDGE-001-05` </t>
  </si>
  <si>
    <t xml:space="preserve"> `test_route_by_intent_analysis` </t>
  </si>
  <si>
    <t xml:space="preserve"> intent=ANALYSIS → "evidence_retriever" </t>
  </si>
  <si>
    <t xml:space="preserve"> `TS-I13-EDGE-001-06` </t>
  </si>
  <si>
    <t xml:space="preserve"> `test_route_by_intent_coherence` </t>
  </si>
  <si>
    <t xml:space="preserve"> intent=COHERENCE → "coherence_evaluator" </t>
  </si>
  <si>
    <t xml:space="preserve"> `TS-I13-EDGE-001-07` </t>
  </si>
  <si>
    <t xml:space="preserve"> `test_route_by_intent_unknown` </t>
  </si>
  <si>
    <t xml:space="preserve"> intent=UNKNOWN → "error_handler" </t>
  </si>
  <si>
    <t xml:space="preserve"> `TS-I13-EDGE-001-08` </t>
  </si>
  <si>
    <t xml:space="preserve"> `test_route_by_intent_low_confidence` </t>
  </si>
  <si>
    <t xml:space="preserve"> confidence &lt; 0.5 → "error_handler" regardless of intent </t>
  </si>
  <si>
    <t xml:space="preserve"> `TS-I13-EDGE-001-09` </t>
  </si>
  <si>
    <t xml:space="preserve"> `test_route_by_evidence_gate_met` </t>
  </si>
  <si>
    <t xml:space="preserve"> evidence_threshold_met=True → "coherence_evaluator" </t>
  </si>
  <si>
    <t xml:space="preserve"> `TS-I13-EDGE-001-10` </t>
  </si>
  <si>
    <t xml:space="preserve"> `test_route_by_evidence_gate_not_met` </t>
  </si>
  <si>
    <t xml:space="preserve"> evidence_threshold_met=False → "error_handler" </t>
  </si>
  <si>
    <t xml:space="preserve"> `TS-I13-EDGE-001-11` </t>
  </si>
  <si>
    <t xml:space="preserve"> `test_route_by_hitl_pending` </t>
  </si>
  <si>
    <t xml:space="preserve"> hitl_status=PENDING → "human_approval_checkpoint" </t>
  </si>
  <si>
    <t xml:space="preserve"> `TS-I13-EDGE-001-12` </t>
  </si>
  <si>
    <t xml:space="preserve"> `test_route_by_hitl_not_required` </t>
  </si>
  <si>
    <t xml:space="preserve"> hitl_status=NOT_REQUIRED → "citation_validator" </t>
  </si>
  <si>
    <t xml:space="preserve"> `TS-I13-EDGE-001-13` </t>
  </si>
  <si>
    <t xml:space="preserve"> `test_route_by_citation_valid` </t>
  </si>
  <si>
    <t xml:space="preserve"> citations not empty, no errors → "final_assembler" </t>
  </si>
  <si>
    <t xml:space="preserve"> `TS-I13-EDGE-001-14` </t>
  </si>
  <si>
    <t xml:space="preserve"> `test_route_by_citation_invalid` </t>
  </si>
  <si>
    <t xml:space="preserve"> citations empty or missing_citation error → "error_handler" </t>
  </si>
  <si>
    <t xml:space="preserve"> `TS-I13-NODE-001-01` </t>
  </si>
  <si>
    <t xml:space="preserve"> `test_intent_classifier_document_query` </t>
  </si>
  <si>
    <t xml:space="preserve"> Query about documents → intent=DOCUMENT </t>
  </si>
  <si>
    <t xml:space="preserve"> `TS-I13-NODE-001-02` </t>
  </si>
  <si>
    <t xml:space="preserve"> `test_intent_classifier_project_query` </t>
  </si>
  <si>
    <t xml:space="preserve"> Query about WBS/project → intent=PROJECT </t>
  </si>
  <si>
    <t xml:space="preserve"> `TS-I13-NODE-001-03` </t>
  </si>
  <si>
    <t xml:space="preserve"> `test_intent_classifier_returns_confidence` </t>
  </si>
  <si>
    <t xml:space="preserve"> Returns confidence score [0-1] </t>
  </si>
  <si>
    <t xml:space="preserve"> `TS-I13-NODE-001-04` </t>
  </si>
  <si>
    <t xml:space="preserve"> `test_intent_classifier_returns_metadata` </t>
  </si>
  <si>
    <t xml:space="preserve"> Returns intent_metadata dict </t>
  </si>
  <si>
    <t xml:space="preserve"> `TS-I13-NODE-001-05` </t>
  </si>
  <si>
    <t xml:space="preserve"> `test_intent_classifier_ambiguous_low_confidence` </t>
  </si>
  <si>
    <t xml:space="preserve"> Ambiguous query → confidence &lt; 0.5 </t>
  </si>
  <si>
    <t xml:space="preserve"> `TS-I13-NODE-001-06` </t>
  </si>
  <si>
    <t xml:space="preserve"> `test_intent_classifier_updates_state` </t>
  </si>
  <si>
    <t xml:space="preserve"> Node returns updated GraphState with intent fields </t>
  </si>
  <si>
    <t xml:space="preserve"> `TS-I13-NODE-002-01` </t>
  </si>
  <si>
    <t xml:space="preserve"> `test_clause_extractor_extracts_clauses` </t>
  </si>
  <si>
    <t xml:space="preserve"> Extracts list of clauses from chunks </t>
  </si>
  <si>
    <t xml:space="preserve"> `TS-I13-NODE-002-02` </t>
  </si>
  <si>
    <t xml:space="preserve"> `test_clause_extractor_classifies_time_clauses` </t>
  </si>
  <si>
    <t xml:space="preserve"> Clauses with dates/deadlines → clauses_by_category["TIME"] </t>
  </si>
  <si>
    <t xml:space="preserve"> `TS-I13-NODE-002-03` </t>
  </si>
  <si>
    <t xml:space="preserve"> `test_clause_extractor_classifies_budget_clauses` </t>
  </si>
  <si>
    <t xml:space="preserve"> Clauses with payments/costs → clauses_by_category["BUDGET"] </t>
  </si>
  <si>
    <t xml:space="preserve"> `TS-I13-NODE-002-04` </t>
  </si>
  <si>
    <t xml:space="preserve"> `test_clause_extractor_classifies_scope_clauses` </t>
  </si>
  <si>
    <t xml:space="preserve"> Clauses with deliverables → clauses_by_category["SCOPE"] </t>
  </si>
  <si>
    <t xml:space="preserve"> `TS-I13-NODE-002-05` </t>
  </si>
  <si>
    <t xml:space="preserve"> `test_clause_extractor_classifies_quality_clauses` </t>
  </si>
  <si>
    <t xml:space="preserve"> Clauses with standards → clauses_by_category["QUALITY"] </t>
  </si>
  <si>
    <t xml:space="preserve"> `TS-I13-NODE-002-06` </t>
  </si>
  <si>
    <t xml:space="preserve"> `test_clause_extractor_classifies_technical_clauses` </t>
  </si>
  <si>
    <t xml:space="preserve"> Clauses with specs → clauses_by_category["TECHNICAL"] </t>
  </si>
  <si>
    <t xml:space="preserve"> `TS-I13-NODE-002-07` </t>
  </si>
  <si>
    <t xml:space="preserve"> `test_clause_extractor_classifies_legal_clauses` </t>
  </si>
  <si>
    <t xml:space="preserve"> Clauses with penalties → clauses_by_category["LEGAL"] </t>
  </si>
  <si>
    <t xml:space="preserve"> `TS-I13-NODE-002-08` </t>
  </si>
  <si>
    <t xml:space="preserve"> `test_clause_extractor_returns_confidence` </t>
  </si>
  <si>
    <t xml:space="preserve"> Returns extraction_confidence [0-1] </t>
  </si>
  <si>
    <t xml:space="preserve"> `TS-I13-NODE-003-01` </t>
  </si>
  <si>
    <t xml:space="preserve"> `test_entity_extractor_extracts_dates` </t>
  </si>
  <si>
    <t xml:space="preserve"> Extracts date entities → extracted_dates </t>
  </si>
  <si>
    <t xml:space="preserve"> `TS-I13-NODE-003-02` </t>
  </si>
  <si>
    <t xml:space="preserve"> `test_entity_extractor_extracts_money` </t>
  </si>
  <si>
    <t xml:space="preserve"> Extracts money entities → extracted_money </t>
  </si>
  <si>
    <t xml:space="preserve"> `TS-I13-NODE-003-03` </t>
  </si>
  <si>
    <t xml:space="preserve"> `test_entity_extractor_extracts_durations` </t>
  </si>
  <si>
    <t xml:space="preserve"> Extracts duration entities → extracted_durations </t>
  </si>
  <si>
    <t xml:space="preserve"> `TS-I13-NODE-003-04` </t>
  </si>
  <si>
    <t xml:space="preserve"> `test_entity_extractor_extracts_milestones` </t>
  </si>
  <si>
    <t xml:space="preserve"> Extracts milestone entities → extracted_milestones </t>
  </si>
  <si>
    <t xml:space="preserve"> `TS-I13-NODE-003-05` </t>
  </si>
  <si>
    <t xml:space="preserve"> `test_entity_extractor_extracts_standards` </t>
  </si>
  <si>
    <t xml:space="preserve"> Extracts standard references → extracted_standards </t>
  </si>
  <si>
    <t xml:space="preserve"> `TS-I13-NODE-003-06` </t>
  </si>
  <si>
    <t xml:space="preserve"> `test_entity_extractor_extracts_penalties` </t>
  </si>
  <si>
    <t xml:space="preserve"> Extracts penalty entities → extracted_penalties </t>
  </si>
  <si>
    <t xml:space="preserve"> `TS-I13-NODE-003-07` </t>
  </si>
  <si>
    <t xml:space="preserve"> `test_entity_extractor_extracts_actors` </t>
  </si>
  <si>
    <t xml:space="preserve"> Extracts actor entities → extracted_actors </t>
  </si>
  <si>
    <t xml:space="preserve"> `TS-I13-NODE-003-08` </t>
  </si>
  <si>
    <t xml:space="preserve"> `test_entity_extractor_extracts_specs` </t>
  </si>
  <si>
    <t xml:space="preserve"> Extracts spec entities → extracted_specs </t>
  </si>
  <si>
    <t xml:space="preserve"> `TS-I13-NODE-003-09` </t>
  </si>
  <si>
    <t xml:space="preserve"> `test_entity_extractor_populates_combined_field` </t>
  </si>
  <si>
    <t xml:space="preserve"> All entities also in extracted_entities </t>
  </si>
  <si>
    <t xml:space="preserve"> `TS-I13-NODE-004-01` </t>
  </si>
  <si>
    <t xml:space="preserve"> `test_coherence_evaluator_runs_time_rules` </t>
  </si>
  <si>
    <t xml:space="preserve"> Runs TIME category rules (R1, R2, R5, R14) </t>
  </si>
  <si>
    <t xml:space="preserve"> `TS-I13-NODE-004-02` </t>
  </si>
  <si>
    <t xml:space="preserve"> `test_coherence_evaluator_runs_budget_rules` </t>
  </si>
  <si>
    <t xml:space="preserve"> Runs BUDGET category rules (R6, R15, R16) </t>
  </si>
  <si>
    <t xml:space="preserve"> `TS-I13-NODE-004-03` </t>
  </si>
  <si>
    <t xml:space="preserve"> `test_coherence_evaluator_runs_scope_rules` </t>
  </si>
  <si>
    <t xml:space="preserve"> Runs SCOPE category rules (R11, R12, R13) </t>
  </si>
  <si>
    <t xml:space="preserve"> `TS-I13-NODE-004-04` </t>
  </si>
  <si>
    <t xml:space="preserve"> `test_coherence_evaluator_runs_quality_rules` </t>
  </si>
  <si>
    <t xml:space="preserve"> Runs QUALITY category rules (R17, R18) </t>
  </si>
  <si>
    <t xml:space="preserve"> `TS-I13-NODE-004-05` </t>
  </si>
  <si>
    <t xml:space="preserve"> `test_coherence_evaluator_runs_technical_rules` </t>
  </si>
  <si>
    <t xml:space="preserve"> Runs TECHNICAL category rules (R3, R4, R7) </t>
  </si>
  <si>
    <t xml:space="preserve"> `TS-I13-NODE-004-06` </t>
  </si>
  <si>
    <t xml:space="preserve"> `test_coherence_evaluator_runs_legal_rules` </t>
  </si>
  <si>
    <t xml:space="preserve"> Runs LEGAL category rules (R1, R8, R20) </t>
  </si>
  <si>
    <t xml:space="preserve"> `TS-I13-NODE-004-07` </t>
  </si>
  <si>
    <t xml:space="preserve"> `test_coherence_evaluator_calculates_subscores` </t>
  </si>
  <si>
    <t xml:space="preserve"> Returns coherence_subscores dict with 6 keys </t>
  </si>
  <si>
    <t xml:space="preserve"> `TS-I13-NODE-004-08` </t>
  </si>
  <si>
    <t xml:space="preserve"> `test_coherence_evaluator_calculates_global_score` </t>
  </si>
  <si>
    <t xml:space="preserve"> Global = Σ(subscore × weight), returns coherence_score </t>
  </si>
  <si>
    <t xml:space="preserve"> `TS-I13-NODE-004-09` </t>
  </si>
  <si>
    <t xml:space="preserve"> `test_coherence_evaluator_groups_alerts` </t>
  </si>
  <si>
    <t xml:space="preserve"> Returns alerts_by_category with alerts grouped </t>
  </si>
  <si>
    <t xml:space="preserve"> `TS-I13-NODE-004-10` </t>
  </si>
  <si>
    <t xml:space="preserve"> `test_coherence_evaluator_custom_weights` </t>
  </si>
  <si>
    <t xml:space="preserve"> Accepts custom category_weights, recalculates global </t>
  </si>
  <si>
    <t xml:space="preserve"> `TS-I13-NODE-005-01` </t>
  </si>
  <si>
    <t xml:space="preserve"> `test_hitl_gate_low_confidence_pending` </t>
  </si>
  <si>
    <t xml:space="preserve"> coherence_score &lt; 0.5 → hitl_status=PENDING </t>
  </si>
  <si>
    <t xml:space="preserve"> `TS-I13-NODE-005-02` </t>
  </si>
  <si>
    <t xml:space="preserve"> `test_hitl_gate_high_impact_pending` </t>
  </si>
  <si>
    <t xml:space="preserve"> Critical alerts present → hitl_status=PENDING </t>
  </si>
  <si>
    <t xml:space="preserve"> `TS-I13-NODE-005-03` </t>
  </si>
  <si>
    <t xml:space="preserve"> `test_hitl_gate_high_confidence_not_required` </t>
  </si>
  <si>
    <t xml:space="preserve"> score &gt;= 0.8, no critical alerts → hitl_status=NOT_REQUIRED </t>
  </si>
  <si>
    <t xml:space="preserve"> `TS-I13-NODE-005-04` </t>
  </si>
  <si>
    <t xml:space="preserve"> `test_hitl_gate_sets_reason` </t>
  </si>
  <si>
    <t xml:space="preserve"> When PENDING, sets hitl_required_reason </t>
  </si>
  <si>
    <t xml:space="preserve"> `TS-I13-NODE-005-05` </t>
  </si>
  <si>
    <t xml:space="preserve"> `test_hitl_gate_creates_item_id` </t>
  </si>
  <si>
    <t xml:space="preserve"> When PENDING, creates hitl_item_id </t>
  </si>
  <si>
    <t xml:space="preserve"> `TS-I13-NODE-005-06` </t>
  </si>
  <si>
    <t xml:space="preserve"> `test_hitl_gate_medium_confidence_conditional` </t>
  </si>
  <si>
    <t xml:space="preserve"> 0.5 &lt;= score &lt; 0.8 → PENDING (conditional review) </t>
  </si>
  <si>
    <t xml:space="preserve"> `TS-I13-NODE-006-01` </t>
  </si>
  <si>
    <t xml:space="preserve"> `test_document_ingestion_returns_chunks` </t>
  </si>
  <si>
    <t xml:space="preserve"> N2 returns ingestion_result, chunks </t>
  </si>
  <si>
    <t xml:space="preserve"> `TS-I13-NODE-006-02` </t>
  </si>
  <si>
    <t xml:space="preserve"> `test_evidence_retriever_returns_evidence` </t>
  </si>
  <si>
    <t xml:space="preserve"> N5 returns retrieved_evidence, evidence_threshold_met </t>
  </si>
  <si>
    <t xml:space="preserve"> `TS-I13-NODE-006-03` </t>
  </si>
  <si>
    <t xml:space="preserve"> `test_risk_aggregator_clusters_risks` </t>
  </si>
  <si>
    <t xml:space="preserve"> N7 returns risk_clusters grouped by severity </t>
  </si>
  <si>
    <t xml:space="preserve"> `TS-I13-NODE-006-04` </t>
  </si>
  <si>
    <t xml:space="preserve"> `test_citation_validator_extracts_citations` </t>
  </si>
  <si>
    <t xml:space="preserve"> N15 returns citations, evidence_links </t>
  </si>
  <si>
    <t xml:space="preserve"> `TS-I13-NODE-006-05` </t>
  </si>
  <si>
    <t xml:space="preserve"> `test_citation_validator_detects_missing` </t>
  </si>
  <si>
    <t xml:space="preserve"> N15 adds error if claims without citations </t>
  </si>
  <si>
    <t xml:space="preserve"> `TS-I13-NODE-006-06` </t>
  </si>
  <si>
    <t xml:space="preserve"> `test_final_assembler_creates_narrative` </t>
  </si>
  <si>
    <t xml:space="preserve"> N16 returns final_narrative </t>
  </si>
  <si>
    <t xml:space="preserve"> `TS-I13-NODE-006-07` </t>
  </si>
  <si>
    <t xml:space="preserve"> `test_error_handler_accumulates_errors` </t>
  </si>
  <si>
    <t xml:space="preserve"> N17 appends to errors list </t>
  </si>
  <si>
    <t xml:space="preserve"> `TS-I13-NODE-006-08` </t>
  </si>
  <si>
    <t xml:space="preserve"> `test_error_handler_triggers_fallback` </t>
  </si>
  <si>
    <t xml:space="preserve"> N17 sets fallback_triggered=True on LLM timeout </t>
  </si>
  <si>
    <t xml:space="preserve"> `TS-I13-GRAPH-001-01` </t>
  </si>
  <si>
    <t xml:space="preserve"> `test_graph_compiles_without_error` </t>
  </si>
  <si>
    <t xml:space="preserve"> StateGraph compiles successfully </t>
  </si>
  <si>
    <t xml:space="preserve"> `TS-I13-GRAPH-001-02` </t>
  </si>
  <si>
    <t xml:space="preserve"> `test_graph_has_all_nodes` </t>
  </si>
  <si>
    <t xml:space="preserve"> Graph contains all 17 nodes </t>
  </si>
  <si>
    <t xml:space="preserve"> `TS-I13-GRAPH-001-03` </t>
  </si>
  <si>
    <t xml:space="preserve"> `test_graph_starts_with_intent_classifier` </t>
  </si>
  <si>
    <t xml:space="preserve"> Entry point is intent_classifier </t>
  </si>
  <si>
    <t xml:space="preserve"> `TS-I13-GRAPH-001-04` </t>
  </si>
  <si>
    <t xml:space="preserve"> `test_graph_document_path` </t>
  </si>
  <si>
    <t xml:space="preserve"> DOCUMENT intent follows N2→N3→N4→N5→N6→N7→... </t>
  </si>
  <si>
    <t xml:space="preserve"> `TS-I13-GRAPH-001-05` </t>
  </si>
  <si>
    <t xml:space="preserve"> `test_graph_project_path` </t>
  </si>
  <si>
    <t xml:space="preserve"> PROJECT intent follows N8→N9→N6→N7→... </t>
  </si>
  <si>
    <t xml:space="preserve"> `TS-I13-GRAPH-001-06` </t>
  </si>
  <si>
    <t xml:space="preserve"> `test_graph_ends_at_final_assembler` </t>
  </si>
  <si>
    <t xml:space="preserve"> Happy path ends at final_assembler </t>
  </si>
  <si>
    <t xml:space="preserve"> `TS-I13-GRAPH-001-07` </t>
  </si>
  <si>
    <t xml:space="preserve"> `test_graph_error_paths_to_handler` </t>
  </si>
  <si>
    <t xml:space="preserve"> All error conditions route to error_handler </t>
  </si>
  <si>
    <t xml:space="preserve"> `TS-I13-GRAPH-001-08` </t>
  </si>
  <si>
    <t xml:space="preserve"> `test_graph_hitl_interrupt_configured` </t>
  </si>
  <si>
    <t xml:space="preserve"> human_approval_checkpoint has interrupt </t>
  </si>
  <si>
    <t xml:space="preserve"> `TS-I13-GRAPH-001-09` </t>
  </si>
  <si>
    <t xml:space="preserve"> `test_graph_checkpointer_attached` </t>
  </si>
  <si>
    <t xml:space="preserve"> MemorySaver checkpointer is configured </t>
  </si>
  <si>
    <t xml:space="preserve"> `TS-I13-GRAPH-001-10` </t>
  </si>
  <si>
    <t xml:space="preserve"> `test_graph_conditional_edges_registered` </t>
  </si>
  <si>
    <t xml:space="preserve"> All 4 conditional edge functions registered </t>
  </si>
  <si>
    <t xml:space="preserve"> `TS-I13-HITL-001-01` </t>
  </si>
  <si>
    <t xml:space="preserve"> `test_hitl_interrupt_pauses_execution` </t>
  </si>
  <si>
    <t xml:space="preserve"> Graph pauses at human_approval_checkpoint when PENDING </t>
  </si>
  <si>
    <t xml:space="preserve"> `TS-I13-HITL-001-02` </t>
  </si>
  <si>
    <t xml:space="preserve"> `test_hitl_state_persisted` </t>
  </si>
  <si>
    <t xml:space="preserve"> State is saved to checkpointer on interrupt </t>
  </si>
  <si>
    <t xml:space="preserve"> `TS-I13-HITL-001-03` </t>
  </si>
  <si>
    <t xml:space="preserve"> `test_hitl_resume_with_approval` </t>
  </si>
  <si>
    <t xml:space="preserve"> Graph resumes after approval, sets hitl_approved_by </t>
  </si>
  <si>
    <t xml:space="preserve"> `TS-I13-HITL-001-04` </t>
  </si>
  <si>
    <t xml:space="preserve"> `test_hitl_resume_with_rejection` </t>
  </si>
  <si>
    <t xml:space="preserve"> Graph resumes after rejection, routes to error_handler </t>
  </si>
  <si>
    <t xml:space="preserve"> `TS-I13-HITL-001-05` </t>
  </si>
  <si>
    <t xml:space="preserve"> `test_hitl_approval_timestamp` </t>
  </si>
  <si>
    <t xml:space="preserve"> Approval sets hitl_approved_at </t>
  </si>
  <si>
    <t xml:space="preserve"> `TS-I13-HITL-001-06` </t>
  </si>
  <si>
    <t xml:space="preserve"> `test_hitl_status_transitions` </t>
  </si>
  <si>
    <t xml:space="preserve"> PENDING → APPROVED or PENDING → REJECTED </t>
  </si>
  <si>
    <t xml:space="preserve"> `TS-I13-HITL-001-07` </t>
  </si>
  <si>
    <t xml:space="preserve"> `test_hitl_escalation_on_timeout` </t>
  </si>
  <si>
    <t xml:space="preserve"> SLA breach → hitl_status=ESCALATED </t>
  </si>
  <si>
    <t xml:space="preserve"> `TS-I13-HITL-001-08` </t>
  </si>
  <si>
    <t xml:space="preserve"> `test_hitl_bypass_when_not_required` </t>
  </si>
  <si>
    <t xml:space="preserve"> NOT_REQUIRED skips human_approval_checkpoint </t>
  </si>
  <si>
    <t xml:space="preserve"> `TS-I13-E2E-001-01` </t>
  </si>
  <si>
    <t xml:space="preserve"> `test_e2e_document_to_coherence_score` </t>
  </si>
  <si>
    <t xml:space="preserve"> Upload doc → extract → coherence score with 6 subscores </t>
  </si>
  <si>
    <t xml:space="preserve"> `TS-I13-E2E-001-02` </t>
  </si>
  <si>
    <t xml:space="preserve"> `test_e2e_low_confidence_requires_approval` </t>
  </si>
  <si>
    <t xml:space="preserve"> Low confidence → HITL pause → approve → final package </t>
  </si>
  <si>
    <t xml:space="preserve"> `TS-I13-E2E-001-03` </t>
  </si>
  <si>
    <t xml:space="preserve"> `test_e2e_missing_citations_blocked` </t>
  </si>
  <si>
    <t xml:space="preserve"> Missing citations → FinalizationBlockedError </t>
  </si>
  <si>
    <t xml:space="preserve"> `TS-I13-E2E-001-04` </t>
  </si>
  <si>
    <t xml:space="preserve"> `test_e2e_fallback_on_llm_timeout` </t>
  </si>
  <si>
    <t xml:space="preserve"> Anthropic timeout → fallback to GPT-4o → completes </t>
  </si>
  <si>
    <t xml:space="preserve"> @backend-tdd Green Phase for</t>
  </si>
  <si>
    <t xml:space="preserve"> @qa-agent`Red Phase for</t>
  </si>
  <si>
    <t xml:space="preserve"> @frontend-tdd Green Phase for</t>
  </si>
  <si>
    <t xml:space="preserve"> 26    </t>
  </si>
  <si>
    <t xml:space="preserve"> **TS-UD-PROC-001**     </t>
  </si>
  <si>
    <t xml:space="preserve"> BOM Item Entity Domain Tests             </t>
  </si>
  <si>
    <t xml:space="preserve"> @backend-tdd    </t>
  </si>
  <si>
    <t xml:space="preserve"> P1       </t>
  </si>
  <si>
    <t xml:space="preserve"> 27    </t>
  </si>
  <si>
    <t xml:space="preserve"> **TS-UD-PROC-002**     </t>
  </si>
  <si>
    <t xml:space="preserve"> BOM Validation Rules Tests               </t>
  </si>
  <si>
    <t xml:space="preserve"> 28    </t>
  </si>
  <si>
    <t xml:space="preserve"> **TS-UD-PROC-003**     </t>
  </si>
  <si>
    <t xml:space="preserve"> Lead Time Calculator Tests               </t>
  </si>
  <si>
    <t xml:space="preserve"> 29    </t>
  </si>
  <si>
    <t xml:space="preserve"> **TS-UA-PROC-001**     </t>
  </si>
  <si>
    <t xml:space="preserve"> Generate BOM Use Case Tests              </t>
  </si>
  <si>
    <t xml:space="preserve"> 30    </t>
  </si>
  <si>
    <t xml:space="preserve"> **TS-UA-PROC-002**     </t>
  </si>
  <si>
    <t xml:space="preserve"> Calculate Lead Time Use Case Tests       </t>
  </si>
  <si>
    <t xml:space="preserve"> 31    </t>
  </si>
  <si>
    <t xml:space="preserve"> **TS-UA-PROC-003**     </t>
  </si>
  <si>
    <t xml:space="preserve"> Generate Procurement Plan Use Case Tests </t>
  </si>
  <si>
    <t xml:space="preserve"> 32    </t>
  </si>
  <si>
    <t xml:space="preserve"> **TS-INT-DB-WBS-001**  </t>
  </si>
  <si>
    <t xml:space="preserve"> WBS Repository + DB Integration          </t>
  </si>
  <si>
    <t xml:space="preserve"> 33    </t>
  </si>
  <si>
    <t xml:space="preserve"> **TS-INT-DB-BOM-001**  </t>
  </si>
  <si>
    <t xml:space="preserve"> BOM Repository + DB Integration          </t>
  </si>
  <si>
    <t xml:space="preserve"> 34    </t>
  </si>
  <si>
    <t xml:space="preserve"> **TS-INT-MOD-WBS-001** </t>
  </si>
  <si>
    <t xml:space="preserve"> WBS → Procurement Integration            </t>
  </si>
  <si>
    <t xml:space="preserve"> 35    </t>
  </si>
  <si>
    <t xml:space="preserve"> **TS-E2E-DEMO-001**    </t>
  </si>
  <si>
    <t xml:space="preserve"> Demo: Delayed Foundation Scenario        </t>
  </si>
  <si>
    <t xml:space="preserve"> @qa-agent       </t>
  </si>
  <si>
    <t xml:space="preserve"> P2       </t>
  </si>
  <si>
    <t xml:space="preserve"> 36    </t>
  </si>
  <si>
    <t xml:space="preserve"> **TS-E2E-DEMO-002**    </t>
  </si>
  <si>
    <t xml:space="preserve"> Demo: Budget Surprise Scenario           </t>
  </si>
  <si>
    <t xml:space="preserve"> 37    </t>
  </si>
  <si>
    <t xml:space="preserve"> **TS-E2E-DEMO-003**    </t>
  </si>
  <si>
    <t xml:space="preserve"> Demo: Procurement Crisis Scenario        </t>
  </si>
  <si>
    <t xml:space="preserve"> 38    </t>
  </si>
  <si>
    <t xml:space="preserve"> **TS-PERF-001**        </t>
  </si>
  <si>
    <t xml:space="preserve"> Performance Benchmark Tests              </t>
  </si>
  <si>
    <t xml:space="preserve"> 39    </t>
  </si>
  <si>
    <t xml:space="preserve"> **TS-INT-OFFLINE-001** </t>
  </si>
  <si>
    <t xml:space="preserve"> Offline Mode Tests                       </t>
  </si>
  <si>
    <t xml:space="preserve"> @frontend-tdd   </t>
  </si>
  <si>
    <t xml:space="preserve"> 40    </t>
  </si>
  <si>
    <t xml:space="preserve"> **TS-SEC-001**         </t>
  </si>
  <si>
    <t xml:space="preserve"> Security Penetration Tests               </t>
  </si>
  <si>
    <t xml:space="preserve"> Security    </t>
  </si>
  <si>
    <t xml:space="preserve"> @security-agent </t>
  </si>
  <si>
    <t xml:space="preserve"> 41    </t>
  </si>
  <si>
    <t xml:space="preserve"> **TS-REFACTOR-001** </t>
  </si>
  <si>
    <t xml:space="preserve"> Component Extraction Tests   </t>
  </si>
  <si>
    <t xml:space="preserve"> Refactor </t>
  </si>
  <si>
    <t xml:space="preserve"> 42    </t>
  </si>
  <si>
    <t xml:space="preserve"> **TS-REFACTOR-002** </t>
  </si>
  <si>
    <t xml:space="preserve"> Hook Optimization Tests      </t>
  </si>
  <si>
    <t xml:space="preserve"> 43    </t>
  </si>
  <si>
    <t xml:space="preserve"> **TS-REFACTOR-003** </t>
  </si>
  <si>
    <t xml:space="preserve"> Performance Regression Tests </t>
  </si>
  <si>
    <t xml:space="preserve"> 44    </t>
  </si>
  <si>
    <t xml:space="preserve"> **TS-REFACTOR-004** </t>
  </si>
  <si>
    <t xml:space="preserve"> Code Quality Tests           </t>
  </si>
  <si>
    <t xml:space="preserve"> 45    </t>
  </si>
  <si>
    <t xml:space="preserve"> **TS-REFACTOR-005** </t>
  </si>
  <si>
    <t xml:space="preserve"> Final E2E Validation         </t>
  </si>
  <si>
    <t xml:space="preserve"> E2E      </t>
  </si>
  <si>
    <t xml:space="preserve"> P0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</si>
</sst>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
      <i/>
      <sz val="11"/>
      <color theme="1"/>
      <name val="Consolas"/>
      <family val="3"/>
    </font>
    <font>
      <sz val="8"/>
      <name val="Consolas"/>
      <family val="3"/>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71">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0" fillId="0" borderId="0" xfId="0" applyAlignment="1">
      <alignment horizontal="center"/>
    </xf>
    <xf numFmtId="0" fontId="0" fillId="8" borderId="0" xfId="0" applyFill="1"/>
    <xf numFmtId="0" fontId="0" fillId="6" borderId="0" xfId="0" applyFill="1" applyAlignment="1">
      <alignment vertical="center" wrapText="1"/>
    </xf>
    <xf numFmtId="0" fontId="10" fillId="0" borderId="0" xfId="0" applyFont="1"/>
    <xf numFmtId="0" fontId="9" fillId="8" borderId="3" xfId="0" applyFont="1" applyFill="1" applyBorder="1" applyAlignment="1">
      <alignment vertical="center"/>
    </xf>
    <xf numFmtId="0" fontId="17" fillId="0" borderId="0" xfId="0" applyFont="1" applyAlignment="1">
      <alignment vertical="center"/>
    </xf>
    <xf numFmtId="0" fontId="15" fillId="8" borderId="0" xfId="0" applyFont="1" applyFill="1" applyAlignment="1">
      <alignment vertical="center" wrapText="1"/>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N150"/>
  <sheetViews>
    <sheetView workbookViewId="0">
      <pane ySplit="1" topLeftCell="A102" activePane="bottomLeft" state="frozen"/>
      <selection pane="bottomLeft" activeCell="B112" sqref="B112"/>
    </sheetView>
  </sheetViews>
  <sheetFormatPr baseColWidth="10" defaultRowHeight="14.4"/>
  <cols>
    <col min="2" max="2" width="27.33203125" customWidth="1"/>
    <col min="3" max="3" width="23.88671875" customWidth="1"/>
    <col min="4" max="4" width="6.6640625" bestFit="1" customWidth="1"/>
    <col min="5" max="5" width="26.5546875" customWidth="1"/>
    <col min="6" max="6" width="11.44140625" style="64"/>
    <col min="7" max="11" width="0" hidden="1" customWidth="1"/>
  </cols>
  <sheetData>
    <row r="1" spans="1:13" ht="31.8" thickBot="1">
      <c r="A1" t="s">
        <v>760</v>
      </c>
      <c r="B1" s="47" t="s">
        <v>1</v>
      </c>
      <c r="C1" s="1" t="s">
        <v>2</v>
      </c>
      <c r="D1" s="47" t="s">
        <v>402</v>
      </c>
      <c r="E1" s="23" t="s">
        <v>1167</v>
      </c>
      <c r="F1" s="48" t="s">
        <v>1186</v>
      </c>
      <c r="G1" s="4" t="s">
        <v>418</v>
      </c>
      <c r="H1" s="4" t="s">
        <v>419</v>
      </c>
      <c r="I1" s="4"/>
      <c r="J1" s="4"/>
      <c r="K1" s="5" t="s">
        <v>761</v>
      </c>
      <c r="L1" s="11" t="s">
        <v>848</v>
      </c>
      <c r="M1" s="11" t="s">
        <v>1716</v>
      </c>
    </row>
    <row r="2" spans="1:13">
      <c r="A2" s="49">
        <v>1</v>
      </c>
      <c r="B2" s="50" t="s">
        <v>198</v>
      </c>
      <c r="C2" s="50" t="s">
        <v>1518</v>
      </c>
      <c r="D2" s="22" t="s">
        <v>407</v>
      </c>
      <c r="E2" s="50" t="s">
        <v>1519</v>
      </c>
      <c r="F2" s="51">
        <v>1</v>
      </c>
    </row>
    <row r="3" spans="1:13">
      <c r="A3" s="49">
        <v>2</v>
      </c>
      <c r="B3" s="50" t="s">
        <v>199</v>
      </c>
      <c r="C3" s="50" t="s">
        <v>1520</v>
      </c>
      <c r="D3" s="22" t="s">
        <v>407</v>
      </c>
      <c r="E3" s="50" t="s">
        <v>1519</v>
      </c>
      <c r="F3" s="51">
        <v>1</v>
      </c>
    </row>
    <row r="4" spans="1:13">
      <c r="A4" s="49">
        <v>3</v>
      </c>
      <c r="B4" s="50" t="s">
        <v>119</v>
      </c>
      <c r="C4" s="50" t="s">
        <v>1521</v>
      </c>
      <c r="D4" s="22" t="s">
        <v>407</v>
      </c>
      <c r="E4" s="50" t="s">
        <v>852</v>
      </c>
      <c r="F4" s="51">
        <v>2</v>
      </c>
    </row>
    <row r="5" spans="1:13">
      <c r="A5" s="49">
        <v>4</v>
      </c>
      <c r="B5" s="50" t="s">
        <v>120</v>
      </c>
      <c r="C5" s="50" t="s">
        <v>1522</v>
      </c>
      <c r="D5" s="22" t="s">
        <v>407</v>
      </c>
      <c r="E5" s="50" t="s">
        <v>852</v>
      </c>
      <c r="F5" s="51">
        <v>2</v>
      </c>
    </row>
    <row r="6" spans="1:13">
      <c r="A6" s="49">
        <v>5</v>
      </c>
      <c r="B6" s="50" t="s">
        <v>121</v>
      </c>
      <c r="C6" s="50" t="s">
        <v>1523</v>
      </c>
      <c r="D6" s="22" t="s">
        <v>407</v>
      </c>
      <c r="E6" s="50" t="s">
        <v>852</v>
      </c>
      <c r="F6" s="51">
        <v>2</v>
      </c>
    </row>
    <row r="7" spans="1:13">
      <c r="A7" s="49">
        <v>6</v>
      </c>
      <c r="B7" s="50" t="s">
        <v>122</v>
      </c>
      <c r="C7" s="50" t="s">
        <v>1524</v>
      </c>
      <c r="D7" s="22" t="s">
        <v>407</v>
      </c>
      <c r="E7" s="50" t="s">
        <v>852</v>
      </c>
      <c r="F7" s="51">
        <v>2</v>
      </c>
    </row>
    <row r="8" spans="1:13">
      <c r="A8" s="49">
        <v>7</v>
      </c>
      <c r="B8" s="50" t="s">
        <v>123</v>
      </c>
      <c r="C8" s="50" t="s">
        <v>1525</v>
      </c>
      <c r="D8" s="22" t="s">
        <v>407</v>
      </c>
      <c r="E8" s="50" t="s">
        <v>852</v>
      </c>
      <c r="F8" s="51">
        <v>2</v>
      </c>
    </row>
    <row r="9" spans="1:13">
      <c r="A9" s="49">
        <v>8</v>
      </c>
      <c r="B9" s="50" t="s">
        <v>124</v>
      </c>
      <c r="C9" s="50" t="s">
        <v>1526</v>
      </c>
      <c r="D9" s="22" t="s">
        <v>407</v>
      </c>
      <c r="E9" s="50" t="s">
        <v>852</v>
      </c>
      <c r="F9" s="51">
        <v>2</v>
      </c>
    </row>
    <row r="10" spans="1:13">
      <c r="A10" s="49">
        <v>9</v>
      </c>
      <c r="B10" s="50" t="s">
        <v>125</v>
      </c>
      <c r="C10" s="50" t="s">
        <v>1527</v>
      </c>
      <c r="D10" s="22" t="s">
        <v>407</v>
      </c>
      <c r="E10" s="50" t="s">
        <v>852</v>
      </c>
      <c r="F10" s="51">
        <v>2</v>
      </c>
    </row>
    <row r="11" spans="1:13">
      <c r="A11" s="49">
        <v>10</v>
      </c>
      <c r="B11" s="50" t="s">
        <v>126</v>
      </c>
      <c r="C11" s="50" t="s">
        <v>1528</v>
      </c>
      <c r="D11" s="22" t="s">
        <v>407</v>
      </c>
      <c r="E11" s="50" t="s">
        <v>1529</v>
      </c>
      <c r="F11" s="51">
        <v>2</v>
      </c>
    </row>
    <row r="12" spans="1:13">
      <c r="A12" s="49">
        <v>11</v>
      </c>
      <c r="B12" s="50" t="s">
        <v>127</v>
      </c>
      <c r="C12" s="50" t="s">
        <v>1530</v>
      </c>
      <c r="D12" s="22" t="s">
        <v>407</v>
      </c>
      <c r="E12" s="50" t="s">
        <v>1529</v>
      </c>
      <c r="F12" s="51">
        <v>2</v>
      </c>
    </row>
    <row r="13" spans="1:13">
      <c r="A13" s="49">
        <v>12</v>
      </c>
      <c r="B13" s="50" t="s">
        <v>128</v>
      </c>
      <c r="C13" s="50" t="s">
        <v>1531</v>
      </c>
      <c r="D13" s="22" t="s">
        <v>407</v>
      </c>
      <c r="E13" s="50" t="s">
        <v>1529</v>
      </c>
      <c r="F13" s="51">
        <v>2</v>
      </c>
    </row>
    <row r="14" spans="1:13">
      <c r="A14" s="49">
        <v>13</v>
      </c>
      <c r="B14" s="50" t="s">
        <v>129</v>
      </c>
      <c r="C14" s="50" t="s">
        <v>1532</v>
      </c>
      <c r="D14" s="22" t="s">
        <v>407</v>
      </c>
      <c r="E14" s="50" t="s">
        <v>1529</v>
      </c>
      <c r="F14" s="51">
        <v>2</v>
      </c>
    </row>
    <row r="15" spans="1:13">
      <c r="A15" s="49">
        <v>14</v>
      </c>
      <c r="B15" s="27" t="s">
        <v>1533</v>
      </c>
      <c r="C15" s="27"/>
      <c r="D15" s="27"/>
      <c r="E15" s="27" t="s">
        <v>1529</v>
      </c>
      <c r="F15" s="52">
        <v>2</v>
      </c>
    </row>
    <row r="16" spans="1:13">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 thickBot="1">
      <c r="A42" s="49">
        <v>41</v>
      </c>
      <c r="B42" s="22" t="s">
        <v>150</v>
      </c>
      <c r="C42" s="22" t="s">
        <v>1567</v>
      </c>
      <c r="D42" s="22" t="s">
        <v>407</v>
      </c>
      <c r="E42" s="22" t="s">
        <v>1556</v>
      </c>
      <c r="F42" s="48">
        <v>5</v>
      </c>
      <c r="L42" t="s">
        <v>849</v>
      </c>
    </row>
    <row r="43" spans="1:12" ht="16.2" thickBot="1">
      <c r="A43" s="49">
        <v>42</v>
      </c>
      <c r="B43" s="6" t="s">
        <v>179</v>
      </c>
      <c r="C43" s="22" t="s">
        <v>1567</v>
      </c>
      <c r="D43" s="22" t="s">
        <v>407</v>
      </c>
      <c r="E43" s="22" t="s">
        <v>1556</v>
      </c>
      <c r="F43" s="48">
        <v>5</v>
      </c>
      <c r="L43" t="s">
        <v>849</v>
      </c>
    </row>
    <row r="44" spans="1:12" ht="16.2"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 thickBot="1">
      <c r="A75" s="49">
        <v>71</v>
      </c>
      <c r="B75" s="22" t="s">
        <v>170</v>
      </c>
      <c r="C75" s="22" t="s">
        <v>1593</v>
      </c>
      <c r="D75" s="22" t="s">
        <v>407</v>
      </c>
      <c r="E75" s="22" t="s">
        <v>1587</v>
      </c>
      <c r="F75" s="48">
        <v>8</v>
      </c>
      <c r="L75" t="s">
        <v>404</v>
      </c>
    </row>
    <row r="76" spans="1:12" ht="16.2" thickBot="1">
      <c r="A76" s="49">
        <v>72</v>
      </c>
      <c r="B76" s="6" t="s">
        <v>185</v>
      </c>
      <c r="C76" s="22" t="s">
        <v>1548</v>
      </c>
      <c r="D76" s="22" t="s">
        <v>407</v>
      </c>
      <c r="E76" s="22" t="s">
        <v>1587</v>
      </c>
      <c r="F76" s="48">
        <v>8</v>
      </c>
      <c r="L76" t="s">
        <v>404</v>
      </c>
    </row>
    <row r="77" spans="1:12" ht="16.2"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 thickBot="1">
      <c r="A94" s="49">
        <v>89</v>
      </c>
      <c r="B94" s="22" t="s">
        <v>218</v>
      </c>
      <c r="C94" s="22" t="s">
        <v>1609</v>
      </c>
      <c r="D94" s="22" t="s">
        <v>407</v>
      </c>
      <c r="E94" s="22" t="s">
        <v>1607</v>
      </c>
      <c r="F94" s="48">
        <v>11</v>
      </c>
      <c r="L94" t="s">
        <v>404</v>
      </c>
    </row>
    <row r="95" spans="1:12" ht="16.2"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 thickBot="1">
      <c r="A98" s="49"/>
      <c r="B98" s="22" t="s">
        <v>214</v>
      </c>
      <c r="C98" s="22"/>
      <c r="D98" s="22" t="s">
        <v>407</v>
      </c>
      <c r="E98" s="22" t="s">
        <v>1607</v>
      </c>
      <c r="F98" s="48">
        <v>11</v>
      </c>
      <c r="L98" t="s">
        <v>404</v>
      </c>
    </row>
    <row r="99" spans="1:12" ht="16.2" thickBot="1">
      <c r="A99" s="49">
        <v>92</v>
      </c>
      <c r="B99" s="25" t="s">
        <v>207</v>
      </c>
      <c r="C99" t="s">
        <v>320</v>
      </c>
      <c r="D99" s="22" t="s">
        <v>407</v>
      </c>
      <c r="E99" s="22" t="s">
        <v>1607</v>
      </c>
      <c r="F99" s="48">
        <v>11</v>
      </c>
      <c r="L99" t="s">
        <v>404</v>
      </c>
    </row>
    <row r="100" spans="1:12" ht="16.2" thickBot="1">
      <c r="A100" s="49">
        <v>92</v>
      </c>
      <c r="B100" s="6" t="s">
        <v>209</v>
      </c>
      <c r="C100" t="s">
        <v>322</v>
      </c>
      <c r="D100" s="22" t="s">
        <v>407</v>
      </c>
      <c r="E100" s="22" t="s">
        <v>1607</v>
      </c>
      <c r="F100" s="48">
        <v>11</v>
      </c>
      <c r="L100" t="s">
        <v>404</v>
      </c>
    </row>
    <row r="101" spans="1:12" ht="16.2" thickBot="1">
      <c r="A101" s="49">
        <v>92</v>
      </c>
      <c r="B101" s="6" t="s">
        <v>210</v>
      </c>
      <c r="C101" t="s">
        <v>323</v>
      </c>
      <c r="D101" s="22" t="s">
        <v>407</v>
      </c>
      <c r="E101" s="22" t="s">
        <v>1607</v>
      </c>
      <c r="F101" s="48">
        <v>11</v>
      </c>
      <c r="L101" t="s">
        <v>404</v>
      </c>
    </row>
    <row r="102" spans="1:12" ht="16.2" thickBot="1">
      <c r="A102" s="49">
        <v>92</v>
      </c>
      <c r="B102" s="54" t="s">
        <v>212</v>
      </c>
      <c r="C102" s="22"/>
      <c r="D102" s="22" t="s">
        <v>407</v>
      </c>
      <c r="E102" s="22" t="s">
        <v>1607</v>
      </c>
      <c r="F102" s="48">
        <v>11</v>
      </c>
      <c r="L102" t="s">
        <v>404</v>
      </c>
    </row>
    <row r="103" spans="1:12" ht="15" thickBot="1">
      <c r="A103" s="49">
        <v>92</v>
      </c>
      <c r="B103" s="22" t="s">
        <v>1612</v>
      </c>
      <c r="C103" s="22" t="s">
        <v>1613</v>
      </c>
      <c r="D103" s="22"/>
      <c r="E103" s="22" t="s">
        <v>1607</v>
      </c>
      <c r="F103" s="48">
        <v>11</v>
      </c>
    </row>
    <row r="104" spans="1:12" ht="1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 thickBot="1">
      <c r="A118" s="58">
        <v>616</v>
      </c>
      <c r="B118" s="20" t="s">
        <v>222</v>
      </c>
      <c r="C118" s="20" t="s">
        <v>335</v>
      </c>
      <c r="D118" s="22" t="s">
        <v>407</v>
      </c>
      <c r="E118" s="22" t="s">
        <v>1607</v>
      </c>
      <c r="F118" s="59">
        <v>11</v>
      </c>
      <c r="K118" t="s">
        <v>404</v>
      </c>
      <c r="L118" t="s">
        <v>404</v>
      </c>
    </row>
    <row r="119" spans="1:12" ht="15" thickBot="1">
      <c r="A119" s="49">
        <v>94</v>
      </c>
      <c r="B119" s="55" t="s">
        <v>1615</v>
      </c>
      <c r="C119" s="55"/>
      <c r="D119" s="55"/>
      <c r="E119" s="55" t="s">
        <v>1607</v>
      </c>
      <c r="F119" s="56">
        <v>11</v>
      </c>
      <c r="G119" s="57"/>
      <c r="H119" s="57"/>
      <c r="I119" s="57"/>
      <c r="J119" s="57"/>
      <c r="K119" s="57"/>
    </row>
    <row r="120" spans="1:12" ht="15" thickBot="1">
      <c r="A120" s="49">
        <v>95</v>
      </c>
      <c r="B120" s="60" t="s">
        <v>200</v>
      </c>
      <c r="C120" s="60" t="s">
        <v>1616</v>
      </c>
      <c r="D120" s="22" t="s">
        <v>407</v>
      </c>
      <c r="E120" s="60" t="s">
        <v>1617</v>
      </c>
      <c r="F120" s="61">
        <v>12</v>
      </c>
      <c r="G120" s="57"/>
      <c r="H120" s="57"/>
      <c r="I120" s="57"/>
      <c r="J120" s="57"/>
      <c r="K120" s="57"/>
      <c r="L120" t="s">
        <v>404</v>
      </c>
    </row>
    <row r="121" spans="1:12" ht="15" thickBot="1">
      <c r="A121" s="49">
        <v>96</v>
      </c>
      <c r="B121" s="60" t="s">
        <v>1618</v>
      </c>
      <c r="C121" s="60" t="s">
        <v>1619</v>
      </c>
      <c r="D121" s="22" t="s">
        <v>407</v>
      </c>
      <c r="E121" s="60" t="s">
        <v>1617</v>
      </c>
      <c r="F121" s="61">
        <v>12</v>
      </c>
      <c r="G121" s="57"/>
      <c r="H121" s="57"/>
      <c r="I121" s="57"/>
      <c r="J121" s="57"/>
      <c r="K121" s="57"/>
      <c r="L121" t="s">
        <v>404</v>
      </c>
    </row>
    <row r="122" spans="1:12" ht="15" thickBot="1">
      <c r="A122" s="49">
        <v>97</v>
      </c>
      <c r="B122" s="60" t="s">
        <v>202</v>
      </c>
      <c r="C122" s="60" t="s">
        <v>1620</v>
      </c>
      <c r="D122" s="22" t="s">
        <v>407</v>
      </c>
      <c r="E122" s="60" t="s">
        <v>1617</v>
      </c>
      <c r="F122" s="61">
        <v>12</v>
      </c>
      <c r="G122" s="57"/>
      <c r="H122" s="57"/>
      <c r="I122" s="57"/>
      <c r="J122" s="57"/>
      <c r="K122" s="57"/>
      <c r="L122" t="s">
        <v>404</v>
      </c>
    </row>
    <row r="123" spans="1:12" ht="15" thickBot="1">
      <c r="A123" s="58">
        <v>598</v>
      </c>
      <c r="B123" s="20" t="s">
        <v>204</v>
      </c>
      <c r="C123" s="20" t="s">
        <v>317</v>
      </c>
      <c r="D123" s="22" t="s">
        <v>407</v>
      </c>
      <c r="E123" s="60" t="s">
        <v>1617</v>
      </c>
      <c r="F123" s="61">
        <v>12</v>
      </c>
      <c r="L123" t="s">
        <v>404</v>
      </c>
    </row>
    <row r="124" spans="1:12" ht="15" thickBot="1">
      <c r="A124" s="58">
        <v>599</v>
      </c>
      <c r="B124" s="20" t="s">
        <v>206</v>
      </c>
      <c r="C124" s="20" t="s">
        <v>319</v>
      </c>
      <c r="D124" s="22" t="s">
        <v>407</v>
      </c>
      <c r="E124" s="60" t="s">
        <v>1617</v>
      </c>
      <c r="F124" s="61">
        <v>12</v>
      </c>
      <c r="L124" t="s">
        <v>404</v>
      </c>
    </row>
    <row r="125" spans="1:12" ht="15" thickBot="1">
      <c r="A125" s="58">
        <v>600</v>
      </c>
      <c r="B125" s="20" t="s">
        <v>205</v>
      </c>
      <c r="C125" s="20" t="s">
        <v>318</v>
      </c>
      <c r="D125" s="22" t="s">
        <v>407</v>
      </c>
      <c r="E125" s="60" t="s">
        <v>1617</v>
      </c>
      <c r="F125" s="61">
        <v>12</v>
      </c>
      <c r="L125" t="s">
        <v>404</v>
      </c>
    </row>
    <row r="126" spans="1:12" ht="15" thickBot="1">
      <c r="A126" s="58">
        <v>607</v>
      </c>
      <c r="B126" s="20" t="s">
        <v>203</v>
      </c>
      <c r="C126" s="20" t="s">
        <v>316</v>
      </c>
      <c r="D126" s="22" t="s">
        <v>407</v>
      </c>
      <c r="E126" s="60" t="s">
        <v>1617</v>
      </c>
      <c r="F126" s="61">
        <v>12</v>
      </c>
      <c r="L126" t="s">
        <v>404</v>
      </c>
    </row>
    <row r="127" spans="1:12" ht="15" thickBot="1">
      <c r="A127" s="49">
        <v>98</v>
      </c>
      <c r="B127" s="55" t="s">
        <v>221</v>
      </c>
      <c r="C127" s="55" t="s">
        <v>1621</v>
      </c>
      <c r="D127" s="22" t="s">
        <v>407</v>
      </c>
      <c r="E127" s="55" t="s">
        <v>1536</v>
      </c>
      <c r="F127" s="56">
        <v>13</v>
      </c>
      <c r="G127" s="57"/>
      <c r="H127" s="57"/>
      <c r="I127" s="57"/>
      <c r="J127" s="57"/>
      <c r="K127" s="57"/>
      <c r="L127" t="s">
        <v>404</v>
      </c>
    </row>
    <row r="128" spans="1:12" ht="15" thickBot="1">
      <c r="A128" s="49">
        <v>99</v>
      </c>
      <c r="B128" s="55" t="s">
        <v>222</v>
      </c>
      <c r="C128" s="55" t="s">
        <v>1622</v>
      </c>
      <c r="D128" s="22" t="s">
        <v>407</v>
      </c>
      <c r="E128" s="55" t="s">
        <v>1536</v>
      </c>
      <c r="F128" s="56">
        <v>13</v>
      </c>
      <c r="G128" s="57"/>
      <c r="H128" s="57"/>
      <c r="I128" s="57"/>
      <c r="J128" s="57"/>
      <c r="K128" s="57"/>
      <c r="L128" t="s">
        <v>404</v>
      </c>
    </row>
    <row r="129" spans="1:14" ht="15" thickBot="1">
      <c r="A129" s="49">
        <v>100</v>
      </c>
      <c r="B129" s="55" t="s">
        <v>1623</v>
      </c>
      <c r="C129" s="55"/>
      <c r="D129" s="55"/>
      <c r="E129" s="55" t="s">
        <v>1536</v>
      </c>
      <c r="F129" s="56">
        <v>13</v>
      </c>
      <c r="G129" s="57"/>
      <c r="H129" s="57"/>
      <c r="I129" s="57"/>
      <c r="J129" s="57"/>
      <c r="K129" s="57"/>
    </row>
    <row r="130" spans="1:14" ht="15" thickBot="1">
      <c r="A130" s="49">
        <v>101</v>
      </c>
      <c r="B130" s="55" t="s">
        <v>1624</v>
      </c>
      <c r="C130" s="55"/>
      <c r="D130" s="55"/>
      <c r="E130" s="55" t="s">
        <v>1536</v>
      </c>
      <c r="F130" s="56">
        <v>13</v>
      </c>
      <c r="G130" s="57"/>
      <c r="H130" s="57"/>
      <c r="I130" s="57"/>
      <c r="J130" s="57"/>
      <c r="K130" s="57"/>
    </row>
    <row r="131" spans="1:14" ht="15" thickBot="1">
      <c r="A131" s="49">
        <v>102</v>
      </c>
      <c r="B131" s="55" t="s">
        <v>1568</v>
      </c>
      <c r="C131" s="55" t="s">
        <v>1554</v>
      </c>
      <c r="D131" s="55"/>
      <c r="E131" s="55" t="s">
        <v>1536</v>
      </c>
      <c r="F131" s="56">
        <v>13</v>
      </c>
      <c r="G131" s="57"/>
      <c r="H131" s="57"/>
      <c r="I131" s="57"/>
      <c r="J131" s="57"/>
      <c r="K131" s="57"/>
    </row>
    <row r="132" spans="1:14" ht="15" thickBot="1">
      <c r="A132" s="49">
        <v>106</v>
      </c>
      <c r="B132" s="62" t="s">
        <v>226</v>
      </c>
      <c r="C132" s="62" t="s">
        <v>1528</v>
      </c>
      <c r="D132" s="62" t="s">
        <v>407</v>
      </c>
      <c r="E132" s="62" t="s">
        <v>1625</v>
      </c>
      <c r="F132" s="63">
        <v>14</v>
      </c>
      <c r="G132" s="57"/>
      <c r="H132" s="57"/>
      <c r="I132" s="57"/>
      <c r="J132" s="57"/>
      <c r="K132" s="57"/>
      <c r="L132" t="s">
        <v>849</v>
      </c>
    </row>
    <row r="133" spans="1:14" ht="15" thickBot="1">
      <c r="A133" s="49">
        <v>107</v>
      </c>
      <c r="B133" s="55" t="s">
        <v>227</v>
      </c>
      <c r="C133" s="55" t="s">
        <v>1626</v>
      </c>
      <c r="D133" s="62" t="s">
        <v>407</v>
      </c>
      <c r="E133" s="55" t="s">
        <v>1625</v>
      </c>
      <c r="F133" s="56">
        <v>14</v>
      </c>
      <c r="G133" s="57"/>
      <c r="H133" s="57"/>
      <c r="I133" s="57"/>
      <c r="J133" s="57"/>
      <c r="K133" s="57"/>
      <c r="L133" t="s">
        <v>849</v>
      </c>
    </row>
    <row r="134" spans="1:14" ht="15" thickBot="1">
      <c r="A134" s="49">
        <v>103</v>
      </c>
      <c r="B134" s="55" t="s">
        <v>223</v>
      </c>
      <c r="C134" s="55" t="s">
        <v>1627</v>
      </c>
      <c r="D134" s="62" t="s">
        <v>407</v>
      </c>
      <c r="E134" s="55" t="s">
        <v>1625</v>
      </c>
      <c r="F134" s="56">
        <v>14</v>
      </c>
      <c r="G134" s="57"/>
      <c r="H134" s="57"/>
      <c r="I134" s="57"/>
      <c r="J134" s="57"/>
      <c r="K134" s="57"/>
      <c r="L134" t="s">
        <v>849</v>
      </c>
      <c r="N134" s="50" t="s">
        <v>1704</v>
      </c>
    </row>
    <row r="135" spans="1:14" ht="15" thickBot="1">
      <c r="B135" s="55" t="s">
        <v>224</v>
      </c>
      <c r="C135" s="55" t="s">
        <v>1628</v>
      </c>
      <c r="D135" s="55" t="s">
        <v>407</v>
      </c>
      <c r="E135" s="55" t="s">
        <v>1625</v>
      </c>
      <c r="F135" s="56">
        <v>14</v>
      </c>
      <c r="L135" t="s">
        <v>849</v>
      </c>
      <c r="N135" s="50" t="s">
        <v>1640</v>
      </c>
    </row>
    <row r="136" spans="1:14" ht="15" thickBot="1">
      <c r="B136" s="68" t="s">
        <v>225</v>
      </c>
      <c r="C136" s="68" t="s">
        <v>1629</v>
      </c>
      <c r="D136" s="55" t="s">
        <v>407</v>
      </c>
      <c r="E136" s="55" t="s">
        <v>1625</v>
      </c>
      <c r="F136" s="56">
        <v>14</v>
      </c>
      <c r="L136" t="s">
        <v>849</v>
      </c>
      <c r="M136" t="s">
        <v>404</v>
      </c>
      <c r="N136" s="50" t="s">
        <v>1641</v>
      </c>
    </row>
    <row r="137" spans="1:14" ht="15" thickBot="1">
      <c r="A137" s="49">
        <v>108</v>
      </c>
      <c r="B137" s="68" t="s">
        <v>228</v>
      </c>
      <c r="C137" s="68" t="s">
        <v>1630</v>
      </c>
      <c r="D137" s="55" t="s">
        <v>407</v>
      </c>
      <c r="E137" s="55" t="s">
        <v>1625</v>
      </c>
      <c r="F137" s="56">
        <v>14</v>
      </c>
      <c r="G137" s="57"/>
      <c r="H137" s="57"/>
      <c r="I137" s="57"/>
      <c r="J137" s="57"/>
      <c r="K137" s="57"/>
      <c r="M137" t="s">
        <v>404</v>
      </c>
      <c r="N137" s="50" t="s">
        <v>1642</v>
      </c>
    </row>
    <row r="138" spans="1:14" ht="15" thickBot="1">
      <c r="A138" s="49">
        <v>109</v>
      </c>
      <c r="B138" s="55" t="s">
        <v>229</v>
      </c>
      <c r="C138" s="55" t="s">
        <v>1631</v>
      </c>
      <c r="D138" s="55" t="s">
        <v>407</v>
      </c>
      <c r="E138" s="55" t="s">
        <v>1625</v>
      </c>
      <c r="F138" s="56">
        <v>14</v>
      </c>
      <c r="G138" s="57"/>
      <c r="H138" s="57"/>
      <c r="I138" s="57"/>
      <c r="J138" s="57"/>
      <c r="K138" s="57"/>
      <c r="M138" t="s">
        <v>404</v>
      </c>
      <c r="N138" s="50" t="s">
        <v>1643</v>
      </c>
    </row>
    <row r="139" spans="1:14" ht="15" thickBot="1">
      <c r="A139" s="49">
        <v>110</v>
      </c>
      <c r="B139" s="55" t="s">
        <v>230</v>
      </c>
      <c r="C139" s="55" t="s">
        <v>1632</v>
      </c>
      <c r="D139" s="55" t="s">
        <v>407</v>
      </c>
      <c r="E139" s="55" t="s">
        <v>1625</v>
      </c>
      <c r="F139" s="56">
        <v>14</v>
      </c>
      <c r="G139" s="57"/>
      <c r="H139" s="57"/>
      <c r="I139" s="57"/>
      <c r="J139" s="57"/>
      <c r="K139" s="57"/>
      <c r="M139" t="s">
        <v>404</v>
      </c>
      <c r="N139" s="50" t="s">
        <v>1644</v>
      </c>
    </row>
    <row r="140" spans="1:14" ht="15" thickBot="1">
      <c r="A140" s="49">
        <v>111</v>
      </c>
      <c r="B140" s="55" t="s">
        <v>231</v>
      </c>
      <c r="C140" s="55" t="s">
        <v>1633</v>
      </c>
      <c r="D140" s="55" t="s">
        <v>407</v>
      </c>
      <c r="E140" s="55" t="s">
        <v>1625</v>
      </c>
      <c r="F140" s="56">
        <v>14</v>
      </c>
      <c r="G140" s="57"/>
      <c r="H140" s="57"/>
      <c r="I140" s="57"/>
      <c r="J140" s="57"/>
      <c r="K140" s="57"/>
      <c r="M140" t="s">
        <v>404</v>
      </c>
      <c r="N140" s="50" t="s">
        <v>1645</v>
      </c>
    </row>
    <row r="141" spans="1:14" ht="15" thickBot="1">
      <c r="A141" s="58">
        <v>569</v>
      </c>
      <c r="B141" t="s">
        <v>175</v>
      </c>
      <c r="C141" t="s">
        <v>288</v>
      </c>
      <c r="L141">
        <f>VLOOKUP(B141,'Unit Test'!A:J,10,FALSE)</f>
        <v>0</v>
      </c>
      <c r="M141" t="s">
        <v>404</v>
      </c>
      <c r="N141" s="50" t="s">
        <v>1646</v>
      </c>
    </row>
    <row r="142" spans="1:14" ht="15" thickBot="1">
      <c r="B142" s="55" t="s">
        <v>1568</v>
      </c>
      <c r="C142" s="55" t="s">
        <v>1554</v>
      </c>
      <c r="D142" s="55"/>
      <c r="E142" s="55" t="s">
        <v>1536</v>
      </c>
      <c r="F142" s="56">
        <v>13</v>
      </c>
    </row>
    <row r="143" spans="1:14">
      <c r="N143" s="50" t="s">
        <v>1708</v>
      </c>
    </row>
    <row r="144" spans="1:14">
      <c r="C144" s="15" t="s">
        <v>1634</v>
      </c>
      <c r="N144" s="50" t="s">
        <v>1710</v>
      </c>
    </row>
    <row r="145" spans="2:14">
      <c r="N145" s="50" t="s">
        <v>1712</v>
      </c>
    </row>
    <row r="146" spans="2:14">
      <c r="B146" s="35" t="s">
        <v>1568</v>
      </c>
      <c r="C146" s="35" t="s">
        <v>1554</v>
      </c>
      <c r="D146" s="35"/>
      <c r="E146" s="35" t="s">
        <v>1556</v>
      </c>
      <c r="F146" s="53">
        <v>12</v>
      </c>
      <c r="N146" s="50" t="s">
        <v>1714</v>
      </c>
    </row>
    <row r="147" spans="2:14">
      <c r="B147" s="35" t="s">
        <v>1568</v>
      </c>
      <c r="C147" s="35" t="s">
        <v>1554</v>
      </c>
      <c r="D147" s="35"/>
      <c r="E147" s="35" t="s">
        <v>1570</v>
      </c>
      <c r="F147" s="53">
        <v>6</v>
      </c>
    </row>
    <row r="148" spans="2:14">
      <c r="B148" s="35" t="s">
        <v>1568</v>
      </c>
      <c r="C148" s="35" t="s">
        <v>1554</v>
      </c>
      <c r="D148" s="35"/>
      <c r="E148" s="35" t="s">
        <v>1578</v>
      </c>
      <c r="F148" s="53">
        <v>12</v>
      </c>
    </row>
    <row r="149" spans="2:14">
      <c r="B149" s="35" t="s">
        <v>1568</v>
      </c>
      <c r="C149" s="35" t="s">
        <v>1554</v>
      </c>
      <c r="D149" s="35"/>
      <c r="E149" s="35" t="s">
        <v>1587</v>
      </c>
      <c r="F149" s="53">
        <v>8</v>
      </c>
    </row>
    <row r="150" spans="2:14">
      <c r="B150" s="35" t="s">
        <v>1568</v>
      </c>
      <c r="C150" s="35" t="s">
        <v>1554</v>
      </c>
      <c r="D150" s="35"/>
      <c r="E150" s="35" t="s">
        <v>1595</v>
      </c>
      <c r="F150" s="53">
        <v>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64"/>
  <sheetViews>
    <sheetView topLeftCell="A53" zoomScaleNormal="100" workbookViewId="0">
      <selection activeCell="A152" sqref="A152"/>
    </sheetView>
  </sheetViews>
  <sheetFormatPr baseColWidth="10" defaultRowHeight="14.4"/>
  <cols>
    <col min="1" max="1" width="77.6640625" customWidth="1"/>
    <col min="2" max="2" width="32.6640625" customWidth="1"/>
    <col min="3" max="3" width="21.5546875" customWidth="1"/>
    <col min="4" max="4" width="47.44140625" customWidth="1"/>
    <col min="5" max="5" width="79" customWidth="1"/>
    <col min="6" max="6" width="67.88671875" customWidth="1"/>
  </cols>
  <sheetData>
    <row r="1" spans="1:5">
      <c r="A1" t="s">
        <v>760</v>
      </c>
      <c r="B1" t="s">
        <v>1499</v>
      </c>
      <c r="E1" t="s">
        <v>1503</v>
      </c>
    </row>
    <row r="2" spans="1:5" ht="17.25" customHeight="1">
      <c r="A2" s="70" t="s">
        <v>1343</v>
      </c>
      <c r="B2" t="s">
        <v>1635</v>
      </c>
      <c r="C2" t="s">
        <v>1500</v>
      </c>
      <c r="D2" t="str">
        <f>+A2</f>
        <v>I1 — Canonical Ingestion Contract</v>
      </c>
      <c r="E2" s="2" t="s">
        <v>1502</v>
      </c>
    </row>
    <row r="3" spans="1:5" ht="19.2" hidden="1">
      <c r="B3" s="42" t="s">
        <v>1344</v>
      </c>
    </row>
    <row r="4" spans="1:5" ht="96" hidden="1">
      <c r="B4" s="43" t="s">
        <v>1345</v>
      </c>
    </row>
    <row r="5" spans="1:5" ht="38.4" hidden="1">
      <c r="B5" s="43" t="s">
        <v>1346</v>
      </c>
    </row>
    <row r="6" spans="1:5" ht="57.6" hidden="1">
      <c r="B6" s="43" t="s">
        <v>1347</v>
      </c>
    </row>
    <row r="7" spans="1:5" ht="19.2" hidden="1">
      <c r="B7" s="42" t="s">
        <v>1348</v>
      </c>
    </row>
    <row r="8" spans="1:5" ht="38.4" hidden="1">
      <c r="B8" s="43" t="s">
        <v>1349</v>
      </c>
    </row>
    <row r="9" spans="1:5" ht="38.4" hidden="1">
      <c r="B9" s="43" t="s">
        <v>1350</v>
      </c>
    </row>
    <row r="10" spans="1:5" ht="38.4" hidden="1">
      <c r="B10" s="42" t="s">
        <v>1351</v>
      </c>
    </row>
    <row r="11" spans="1:5" ht="57.6" hidden="1">
      <c r="B11" s="43" t="s">
        <v>1352</v>
      </c>
    </row>
    <row r="12" spans="1:5" ht="57.6" hidden="1">
      <c r="B12" s="43" t="s">
        <v>1353</v>
      </c>
    </row>
    <row r="13" spans="1:5" ht="19.2" hidden="1">
      <c r="B13" s="42" t="s">
        <v>1354</v>
      </c>
    </row>
    <row r="14" spans="1:5" ht="57.6" hidden="1">
      <c r="B14" s="43" t="s">
        <v>1355</v>
      </c>
    </row>
    <row r="15" spans="1:5" ht="38.4" hidden="1">
      <c r="B15" s="42" t="s">
        <v>1356</v>
      </c>
    </row>
    <row r="16" spans="1:5" ht="57.6" hidden="1">
      <c r="B16" s="43" t="s">
        <v>1357</v>
      </c>
    </row>
    <row r="17" spans="1:6" ht="38.4" hidden="1">
      <c r="B17" s="42" t="s">
        <v>1358</v>
      </c>
    </row>
    <row r="18" spans="1:6" ht="57.6" hidden="1">
      <c r="B18" s="43" t="s">
        <v>1359</v>
      </c>
    </row>
    <row r="19" spans="1:6" ht="23.25" customHeight="1">
      <c r="A19" s="70" t="s">
        <v>1360</v>
      </c>
      <c r="B19" s="20" t="s">
        <v>1635</v>
      </c>
      <c r="C19" t="s">
        <v>1500</v>
      </c>
      <c r="D19" t="str">
        <f>+A19</f>
        <v>I2 — OCR + Table Parsing Reliability</v>
      </c>
      <c r="E19" s="2" t="s">
        <v>1504</v>
      </c>
      <c r="F19" s="14" t="s">
        <v>1636</v>
      </c>
    </row>
    <row r="20" spans="1:6" ht="19.2" hidden="1">
      <c r="B20" s="42" t="s">
        <v>1344</v>
      </c>
    </row>
    <row r="21" spans="1:6" ht="57.6" hidden="1">
      <c r="B21" s="43" t="s">
        <v>1361</v>
      </c>
    </row>
    <row r="22" spans="1:6" ht="76.8" hidden="1">
      <c r="B22" s="43" t="s">
        <v>1362</v>
      </c>
    </row>
    <row r="23" spans="1:6" ht="57.6" hidden="1">
      <c r="B23" s="43" t="s">
        <v>1363</v>
      </c>
    </row>
    <row r="24" spans="1:6" ht="19.2" hidden="1">
      <c r="B24" s="42" t="s">
        <v>1348</v>
      </c>
    </row>
    <row r="25" spans="1:6" ht="19.2" hidden="1">
      <c r="B25" s="43" t="s">
        <v>1364</v>
      </c>
    </row>
    <row r="26" spans="1:6" ht="38.4" hidden="1">
      <c r="B26" s="43" t="s">
        <v>1365</v>
      </c>
    </row>
    <row r="27" spans="1:6" ht="38.4" hidden="1">
      <c r="B27" s="42" t="s">
        <v>1351</v>
      </c>
    </row>
    <row r="28" spans="1:6" ht="38.4" hidden="1">
      <c r="B28" s="43" t="s">
        <v>1366</v>
      </c>
    </row>
    <row r="29" spans="1:6" ht="38.4" hidden="1">
      <c r="B29" s="43" t="s">
        <v>1367</v>
      </c>
    </row>
    <row r="30" spans="1:6" ht="19.2" hidden="1">
      <c r="B30" s="42" t="s">
        <v>1354</v>
      </c>
    </row>
    <row r="31" spans="1:6" ht="57.6" hidden="1">
      <c r="B31" s="43" t="s">
        <v>1368</v>
      </c>
    </row>
    <row r="32" spans="1:6" ht="38.4" hidden="1">
      <c r="B32" s="42" t="s">
        <v>1356</v>
      </c>
    </row>
    <row r="33" spans="1:5" ht="57.6" hidden="1">
      <c r="B33" s="43" t="s">
        <v>1369</v>
      </c>
    </row>
    <row r="34" spans="1:5" ht="38.4" hidden="1">
      <c r="B34" s="42" t="s">
        <v>1358</v>
      </c>
    </row>
    <row r="35" spans="1:5" ht="57.6" hidden="1">
      <c r="B35" s="43" t="s">
        <v>1370</v>
      </c>
    </row>
    <row r="36" spans="1:5" ht="18" customHeight="1">
      <c r="A36" s="70" t="s">
        <v>1371</v>
      </c>
      <c r="B36" s="65" t="s">
        <v>1635</v>
      </c>
      <c r="C36" t="s">
        <v>1500</v>
      </c>
      <c r="D36" t="str">
        <f>+A36</f>
        <v>I3 — Clause Extraction + Normalization</v>
      </c>
      <c r="E36" s="45" t="s">
        <v>1505</v>
      </c>
    </row>
    <row r="37" spans="1:5" ht="19.2" hidden="1">
      <c r="B37" s="42" t="s">
        <v>1344</v>
      </c>
    </row>
    <row r="38" spans="1:5" ht="57.6" hidden="1">
      <c r="B38" s="43" t="s">
        <v>1372</v>
      </c>
    </row>
    <row r="39" spans="1:5" ht="57.6" hidden="1">
      <c r="B39" s="43" t="s">
        <v>1373</v>
      </c>
    </row>
    <row r="40" spans="1:5" ht="76.8" hidden="1">
      <c r="B40" s="43" t="s">
        <v>1374</v>
      </c>
    </row>
    <row r="41" spans="1:5" ht="19.2" hidden="1">
      <c r="B41" s="42" t="s">
        <v>1348</v>
      </c>
    </row>
    <row r="42" spans="1:5" ht="38.4" hidden="1">
      <c r="B42" s="43" t="s">
        <v>1375</v>
      </c>
    </row>
    <row r="43" spans="1:5" ht="38.4" hidden="1">
      <c r="B43" s="43" t="s">
        <v>1376</v>
      </c>
    </row>
    <row r="44" spans="1:5" ht="38.4" hidden="1">
      <c r="B44" s="42" t="s">
        <v>1351</v>
      </c>
    </row>
    <row r="45" spans="1:5" ht="57.6" hidden="1">
      <c r="B45" s="43" t="s">
        <v>1377</v>
      </c>
    </row>
    <row r="46" spans="1:5" ht="38.4" hidden="1">
      <c r="B46" s="43" t="s">
        <v>1378</v>
      </c>
    </row>
    <row r="47" spans="1:5" ht="19.2" hidden="1">
      <c r="B47" s="42" t="s">
        <v>1354</v>
      </c>
    </row>
    <row r="48" spans="1:5" ht="38.4" hidden="1">
      <c r="B48" s="43" t="s">
        <v>1379</v>
      </c>
    </row>
    <row r="49" spans="1:5" ht="38.4" hidden="1">
      <c r="B49" s="42" t="s">
        <v>1356</v>
      </c>
    </row>
    <row r="50" spans="1:5" ht="57.6" hidden="1">
      <c r="B50" s="43" t="s">
        <v>1380</v>
      </c>
    </row>
    <row r="51" spans="1:5" ht="38.4" hidden="1">
      <c r="B51" s="42" t="s">
        <v>1358</v>
      </c>
    </row>
    <row r="52" spans="1:5" ht="57.6" hidden="1">
      <c r="B52" s="43" t="s">
        <v>1381</v>
      </c>
    </row>
    <row r="53" spans="1:5" ht="26.25" customHeight="1">
      <c r="A53" s="70" t="s">
        <v>1382</v>
      </c>
      <c r="B53" s="20" t="s">
        <v>1635</v>
      </c>
      <c r="C53" t="s">
        <v>1500</v>
      </c>
      <c r="D53" t="str">
        <f>+A53</f>
        <v>I4 — Hybrid RAG Retrieval Correctness</v>
      </c>
      <c r="E53" s="2" t="s">
        <v>1506</v>
      </c>
    </row>
    <row r="54" spans="1:5" ht="19.2" hidden="1">
      <c r="B54" s="42" t="s">
        <v>1344</v>
      </c>
    </row>
    <row r="55" spans="1:5" ht="38.4" hidden="1">
      <c r="B55" s="43" t="s">
        <v>1383</v>
      </c>
    </row>
    <row r="56" spans="1:5" ht="57.6" hidden="1">
      <c r="B56" s="43" t="s">
        <v>1384</v>
      </c>
    </row>
    <row r="57" spans="1:5" ht="57.6" hidden="1">
      <c r="B57" s="43" t="s">
        <v>1385</v>
      </c>
    </row>
    <row r="58" spans="1:5" ht="19.2" hidden="1">
      <c r="B58" s="42" t="s">
        <v>1348</v>
      </c>
    </row>
    <row r="59" spans="1:5" ht="38.4" hidden="1">
      <c r="B59" s="43" t="s">
        <v>1386</v>
      </c>
    </row>
    <row r="60" spans="1:5" ht="38.4" hidden="1">
      <c r="B60" s="43" t="s">
        <v>1387</v>
      </c>
    </row>
    <row r="61" spans="1:5" ht="38.4" hidden="1">
      <c r="B61" s="42" t="s">
        <v>1351</v>
      </c>
    </row>
    <row r="62" spans="1:5" ht="57.6" hidden="1">
      <c r="B62" s="43" t="s">
        <v>1388</v>
      </c>
    </row>
    <row r="63" spans="1:5" ht="19.2" hidden="1">
      <c r="B63" s="43" t="s">
        <v>1389</v>
      </c>
    </row>
    <row r="64" spans="1:5" ht="19.2" hidden="1">
      <c r="B64" s="42" t="s">
        <v>1354</v>
      </c>
    </row>
    <row r="65" spans="1:5" ht="38.4" hidden="1">
      <c r="B65" s="43" t="s">
        <v>1390</v>
      </c>
    </row>
    <row r="66" spans="1:5" ht="38.4" hidden="1">
      <c r="B66" s="42" t="s">
        <v>1356</v>
      </c>
    </row>
    <row r="67" spans="1:5" ht="38.4" hidden="1">
      <c r="B67" s="43" t="s">
        <v>1391</v>
      </c>
    </row>
    <row r="68" spans="1:5" ht="38.4" hidden="1">
      <c r="B68" s="42" t="s">
        <v>1358</v>
      </c>
    </row>
    <row r="69" spans="1:5" ht="57.6" hidden="1">
      <c r="B69" s="43" t="s">
        <v>1392</v>
      </c>
    </row>
    <row r="70" spans="1:5" ht="22.5" customHeight="1">
      <c r="A70" s="44" t="s">
        <v>1393</v>
      </c>
      <c r="B70" t="s">
        <v>1501</v>
      </c>
      <c r="C70" t="s">
        <v>1500</v>
      </c>
      <c r="D70" s="15" t="str">
        <f>+A70</f>
        <v>I5 — Graph Schema + Relationship Integrity</v>
      </c>
      <c r="E70" s="2" t="s">
        <v>1507</v>
      </c>
    </row>
    <row r="71" spans="1:5" ht="19.2" hidden="1">
      <c r="B71" s="42" t="s">
        <v>1344</v>
      </c>
    </row>
    <row r="72" spans="1:5" ht="76.8" hidden="1">
      <c r="B72" s="43" t="s">
        <v>1394</v>
      </c>
    </row>
    <row r="73" spans="1:5" ht="57.6" hidden="1">
      <c r="B73" s="43" t="s">
        <v>1395</v>
      </c>
    </row>
    <row r="74" spans="1:5" ht="57.6" hidden="1">
      <c r="B74" s="43" t="s">
        <v>1396</v>
      </c>
    </row>
    <row r="75" spans="1:5" ht="19.2" hidden="1">
      <c r="B75" s="42" t="s">
        <v>1348</v>
      </c>
    </row>
    <row r="76" spans="1:5" ht="38.4" hidden="1">
      <c r="B76" s="43" t="s">
        <v>1397</v>
      </c>
    </row>
    <row r="77" spans="1:5" ht="38.4" hidden="1">
      <c r="B77" s="43" t="s">
        <v>1398</v>
      </c>
    </row>
    <row r="78" spans="1:5" ht="38.4" hidden="1">
      <c r="B78" s="42" t="s">
        <v>1351</v>
      </c>
    </row>
    <row r="79" spans="1:5" ht="57.6" hidden="1">
      <c r="B79" s="43" t="s">
        <v>1399</v>
      </c>
    </row>
    <row r="80" spans="1:5" ht="38.4" hidden="1">
      <c r="B80" s="43" t="s">
        <v>1400</v>
      </c>
    </row>
    <row r="81" spans="1:5" ht="19.2" hidden="1">
      <c r="B81" s="42" t="s">
        <v>1354</v>
      </c>
    </row>
    <row r="82" spans="1:5" ht="38.4" hidden="1">
      <c r="B82" s="43" t="s">
        <v>1401</v>
      </c>
    </row>
    <row r="83" spans="1:5" ht="38.4" hidden="1">
      <c r="B83" s="42" t="s">
        <v>1356</v>
      </c>
    </row>
    <row r="84" spans="1:5" ht="57.6" hidden="1">
      <c r="B84" s="43" t="s">
        <v>1402</v>
      </c>
    </row>
    <row r="85" spans="1:5" ht="38.4" hidden="1">
      <c r="B85" s="42" t="s">
        <v>1358</v>
      </c>
    </row>
    <row r="86" spans="1:5" ht="76.8" hidden="1">
      <c r="B86" s="43" t="s">
        <v>1403</v>
      </c>
    </row>
    <row r="87" spans="1:5" ht="28.5" customHeight="1">
      <c r="A87" s="44" t="s">
        <v>1404</v>
      </c>
      <c r="B87" t="s">
        <v>1501</v>
      </c>
      <c r="C87" t="s">
        <v>1500</v>
      </c>
      <c r="D87" t="str">
        <f>+A87</f>
        <v>I6 — Coherence Rule Engine (Contract vs Reality)</v>
      </c>
      <c r="E87" s="2" t="s">
        <v>1508</v>
      </c>
    </row>
    <row r="88" spans="1:5" ht="19.2" hidden="1">
      <c r="B88" s="42" t="s">
        <v>1344</v>
      </c>
    </row>
    <row r="89" spans="1:5" ht="76.8" hidden="1">
      <c r="B89" s="43" t="s">
        <v>1405</v>
      </c>
    </row>
    <row r="90" spans="1:5" ht="38.4" hidden="1">
      <c r="B90" s="43" t="s">
        <v>1406</v>
      </c>
    </row>
    <row r="91" spans="1:5" ht="38.4" hidden="1">
      <c r="B91" s="43" t="s">
        <v>1407</v>
      </c>
    </row>
    <row r="92" spans="1:5" ht="19.2" hidden="1">
      <c r="B92" s="42" t="s">
        <v>1348</v>
      </c>
    </row>
    <row r="93" spans="1:5" ht="38.4" hidden="1">
      <c r="B93" s="43" t="s">
        <v>1408</v>
      </c>
    </row>
    <row r="94" spans="1:5" ht="19.2" hidden="1">
      <c r="B94" s="43" t="s">
        <v>1409</v>
      </c>
    </row>
    <row r="95" spans="1:5" ht="38.4" hidden="1">
      <c r="B95" s="42" t="s">
        <v>1351</v>
      </c>
    </row>
    <row r="96" spans="1:5" ht="57.6" hidden="1">
      <c r="B96" s="43" t="s">
        <v>1410</v>
      </c>
    </row>
    <row r="97" spans="1:5" ht="19.2" hidden="1">
      <c r="B97" s="42" t="s">
        <v>1354</v>
      </c>
    </row>
    <row r="98" spans="1:5" ht="38.4" hidden="1">
      <c r="B98" s="43" t="s">
        <v>1411</v>
      </c>
    </row>
    <row r="99" spans="1:5" ht="38.4" hidden="1">
      <c r="B99" s="42" t="s">
        <v>1356</v>
      </c>
    </row>
    <row r="100" spans="1:5" ht="38.4" hidden="1">
      <c r="B100" s="43" t="s">
        <v>1412</v>
      </c>
    </row>
    <row r="101" spans="1:5" ht="38.4" hidden="1">
      <c r="B101" s="42" t="s">
        <v>1358</v>
      </c>
    </row>
    <row r="102" spans="1:5" ht="38.4" hidden="1">
      <c r="B102" s="43" t="s">
        <v>1413</v>
      </c>
    </row>
    <row r="103" spans="1:5" ht="27.75" customHeight="1">
      <c r="A103" s="70" t="s">
        <v>1414</v>
      </c>
      <c r="B103" t="s">
        <v>1501</v>
      </c>
      <c r="C103" t="s">
        <v>1500</v>
      </c>
      <c r="D103" t="str">
        <f>+A103</f>
        <v>I7 — Risk Scoring + Coherence Score Aggregation</v>
      </c>
      <c r="E103" s="2" t="s">
        <v>1509</v>
      </c>
    </row>
    <row r="104" spans="1:5" ht="19.2" hidden="1">
      <c r="B104" s="42" t="s">
        <v>1344</v>
      </c>
    </row>
    <row r="105" spans="1:5" ht="57.6" hidden="1">
      <c r="B105" s="43" t="s">
        <v>1415</v>
      </c>
    </row>
    <row r="106" spans="1:5" ht="38.4" hidden="1">
      <c r="B106" s="43" t="s">
        <v>1416</v>
      </c>
    </row>
    <row r="107" spans="1:5" ht="57.6" hidden="1">
      <c r="B107" s="43" t="s">
        <v>1417</v>
      </c>
    </row>
    <row r="108" spans="1:5" ht="19.2" hidden="1">
      <c r="B108" s="42" t="s">
        <v>1348</v>
      </c>
    </row>
    <row r="109" spans="1:5" ht="38.4" hidden="1">
      <c r="B109" s="43" t="s">
        <v>1418</v>
      </c>
    </row>
    <row r="110" spans="1:5" ht="19.2" hidden="1">
      <c r="B110" s="43" t="s">
        <v>1419</v>
      </c>
    </row>
    <row r="111" spans="1:5" ht="38.4" hidden="1">
      <c r="B111" s="42" t="s">
        <v>1351</v>
      </c>
    </row>
    <row r="112" spans="1:5" ht="57.6" hidden="1">
      <c r="B112" s="43" t="s">
        <v>1420</v>
      </c>
    </row>
    <row r="113" spans="1:5" ht="19.2" hidden="1">
      <c r="B113" s="42" t="s">
        <v>1354</v>
      </c>
    </row>
    <row r="114" spans="1:5" ht="38.4" hidden="1">
      <c r="B114" s="43" t="s">
        <v>1421</v>
      </c>
    </row>
    <row r="115" spans="1:5" ht="38.4" hidden="1">
      <c r="B115" s="42" t="s">
        <v>1356</v>
      </c>
    </row>
    <row r="116" spans="1:5" ht="57.6" hidden="1">
      <c r="B116" s="43" t="s">
        <v>1422</v>
      </c>
    </row>
    <row r="117" spans="1:5" ht="38.4" hidden="1">
      <c r="B117" s="42" t="s">
        <v>1358</v>
      </c>
    </row>
    <row r="118" spans="1:5" ht="57.6" hidden="1">
      <c r="B118" s="43" t="s">
        <v>1423</v>
      </c>
    </row>
    <row r="119" spans="1:5" ht="30" customHeight="1">
      <c r="A119" s="70" t="s">
        <v>1424</v>
      </c>
      <c r="B119" t="s">
        <v>1501</v>
      </c>
      <c r="C119" t="s">
        <v>1500</v>
      </c>
      <c r="D119" t="str">
        <f>+A119</f>
        <v>I8 — WBS/BOM Generation</v>
      </c>
      <c r="E119" s="2" t="s">
        <v>1510</v>
      </c>
    </row>
    <row r="120" spans="1:5" ht="19.2" hidden="1">
      <c r="B120" s="42" t="s">
        <v>1344</v>
      </c>
    </row>
    <row r="121" spans="1:5" ht="57.6" hidden="1">
      <c r="B121" s="43" t="s">
        <v>1425</v>
      </c>
    </row>
    <row r="122" spans="1:5" ht="57.6" hidden="1">
      <c r="B122" s="43" t="s">
        <v>1426</v>
      </c>
    </row>
    <row r="123" spans="1:5" ht="38.4" hidden="1">
      <c r="B123" s="43" t="s">
        <v>1427</v>
      </c>
    </row>
    <row r="124" spans="1:5" ht="19.2" hidden="1">
      <c r="B124" s="42" t="s">
        <v>1348</v>
      </c>
    </row>
    <row r="125" spans="1:5" ht="38.4" hidden="1">
      <c r="B125" s="43" t="s">
        <v>1428</v>
      </c>
    </row>
    <row r="126" spans="1:5" ht="38.4" hidden="1">
      <c r="B126" s="43" t="s">
        <v>1429</v>
      </c>
    </row>
    <row r="127" spans="1:5" ht="38.4" hidden="1">
      <c r="B127" s="42" t="s">
        <v>1351</v>
      </c>
    </row>
    <row r="128" spans="1:5" ht="38.4" hidden="1">
      <c r="B128" s="43" t="s">
        <v>1430</v>
      </c>
    </row>
    <row r="129" spans="1:5" ht="57.6" hidden="1">
      <c r="B129" s="43" t="s">
        <v>1431</v>
      </c>
    </row>
    <row r="130" spans="1:5" ht="19.2" hidden="1">
      <c r="B130" s="42" t="s">
        <v>1354</v>
      </c>
    </row>
    <row r="131" spans="1:5" ht="38.4" hidden="1">
      <c r="B131" s="43" t="s">
        <v>1432</v>
      </c>
    </row>
    <row r="132" spans="1:5" ht="38.4" hidden="1">
      <c r="B132" s="42" t="s">
        <v>1356</v>
      </c>
    </row>
    <row r="133" spans="1:5" ht="57.6" hidden="1">
      <c r="B133" s="43" t="s">
        <v>1433</v>
      </c>
    </row>
    <row r="134" spans="1:5" ht="38.4" hidden="1">
      <c r="B134" s="42" t="s">
        <v>1358</v>
      </c>
    </row>
    <row r="135" spans="1:5" ht="76.8" hidden="1">
      <c r="B135" s="43" t="s">
        <v>1434</v>
      </c>
    </row>
    <row r="136" spans="1:5" ht="28.5" customHeight="1">
      <c r="A136" s="44" t="s">
        <v>1435</v>
      </c>
      <c r="B136" t="s">
        <v>1501</v>
      </c>
      <c r="C136" t="s">
        <v>1500</v>
      </c>
      <c r="D136" t="str">
        <f>+A136</f>
        <v>I9 — Procurement Planning Intelligence</v>
      </c>
      <c r="E136" s="2" t="s">
        <v>1511</v>
      </c>
    </row>
    <row r="137" spans="1:5" ht="19.2" hidden="1">
      <c r="B137" s="42" t="s">
        <v>1344</v>
      </c>
    </row>
    <row r="138" spans="1:5" ht="57.6" hidden="1">
      <c r="B138" s="43" t="s">
        <v>1436</v>
      </c>
    </row>
    <row r="139" spans="1:5" ht="57.6" hidden="1">
      <c r="B139" s="43" t="s">
        <v>1437</v>
      </c>
    </row>
    <row r="140" spans="1:5" ht="57.6" hidden="1">
      <c r="B140" s="43" t="s">
        <v>1438</v>
      </c>
    </row>
    <row r="141" spans="1:5" ht="19.2" hidden="1">
      <c r="B141" s="42" t="s">
        <v>1348</v>
      </c>
    </row>
    <row r="142" spans="1:5" ht="38.4" hidden="1">
      <c r="B142" s="43" t="s">
        <v>1439</v>
      </c>
    </row>
    <row r="143" spans="1:5" ht="38.4" hidden="1">
      <c r="B143" s="43" t="s">
        <v>1440</v>
      </c>
    </row>
    <row r="144" spans="1:5" ht="38.4" hidden="1">
      <c r="B144" s="42" t="s">
        <v>1351</v>
      </c>
    </row>
    <row r="145" spans="1:5" ht="76.8" hidden="1">
      <c r="B145" s="43" t="s">
        <v>1441</v>
      </c>
    </row>
    <row r="146" spans="1:5" ht="19.2" hidden="1">
      <c r="B146" s="42" t="s">
        <v>1354</v>
      </c>
    </row>
    <row r="147" spans="1:5" ht="57.6" hidden="1">
      <c r="B147" s="43" t="s">
        <v>1442</v>
      </c>
    </row>
    <row r="148" spans="1:5" ht="38.4" hidden="1">
      <c r="B148" s="42" t="s">
        <v>1356</v>
      </c>
    </row>
    <row r="149" spans="1:5" ht="57.6" hidden="1">
      <c r="B149" s="43" t="s">
        <v>1443</v>
      </c>
    </row>
    <row r="150" spans="1:5" ht="38.4" hidden="1">
      <c r="B150" s="42" t="s">
        <v>1358</v>
      </c>
    </row>
    <row r="151" spans="1:5" ht="38.4" hidden="1">
      <c r="B151" s="43" t="s">
        <v>1444</v>
      </c>
    </row>
    <row r="152" spans="1:5" ht="14.25" customHeight="1">
      <c r="A152" s="44" t="s">
        <v>1445</v>
      </c>
      <c r="B152" t="s">
        <v>1501</v>
      </c>
      <c r="C152" t="s">
        <v>1500</v>
      </c>
      <c r="D152" t="str">
        <f>+A152</f>
        <v>I10 — Stakeholder Resolution + RACI Inference</v>
      </c>
      <c r="E152" s="45" t="s">
        <v>1512</v>
      </c>
    </row>
    <row r="153" spans="1:5" ht="19.2" hidden="1">
      <c r="B153" s="42" t="s">
        <v>1344</v>
      </c>
    </row>
    <row r="154" spans="1:5" ht="57.6" hidden="1">
      <c r="B154" s="43" t="s">
        <v>1446</v>
      </c>
    </row>
    <row r="155" spans="1:5" ht="57.6" hidden="1">
      <c r="B155" s="43" t="s">
        <v>1447</v>
      </c>
    </row>
    <row r="156" spans="1:5" ht="57.6" hidden="1">
      <c r="B156" s="43" t="s">
        <v>1448</v>
      </c>
    </row>
    <row r="157" spans="1:5" ht="19.2" hidden="1">
      <c r="B157" s="42" t="s">
        <v>1348</v>
      </c>
    </row>
    <row r="158" spans="1:5" ht="38.4" hidden="1">
      <c r="B158" s="43" t="s">
        <v>1449</v>
      </c>
    </row>
    <row r="159" spans="1:5" ht="38.4" hidden="1">
      <c r="B159" s="43" t="s">
        <v>1450</v>
      </c>
    </row>
    <row r="160" spans="1:5" ht="38.4" hidden="1">
      <c r="B160" s="42" t="s">
        <v>1351</v>
      </c>
    </row>
    <row r="161" spans="1:5" ht="38.4" hidden="1">
      <c r="B161" s="43" t="s">
        <v>1451</v>
      </c>
    </row>
    <row r="162" spans="1:5" ht="38.4" hidden="1">
      <c r="B162" s="43" t="s">
        <v>1452</v>
      </c>
    </row>
    <row r="163" spans="1:5" ht="19.2" hidden="1">
      <c r="B163" s="42" t="s">
        <v>1354</v>
      </c>
    </row>
    <row r="164" spans="1:5" ht="57.6" hidden="1">
      <c r="B164" s="43" t="s">
        <v>1453</v>
      </c>
    </row>
    <row r="165" spans="1:5" ht="38.4" hidden="1">
      <c r="B165" s="42" t="s">
        <v>1356</v>
      </c>
    </row>
    <row r="166" spans="1:5" ht="38.4" hidden="1">
      <c r="B166" s="43" t="s">
        <v>1454</v>
      </c>
    </row>
    <row r="167" spans="1:5" ht="38.4" hidden="1">
      <c r="B167" s="42" t="s">
        <v>1358</v>
      </c>
    </row>
    <row r="168" spans="1:5" ht="57.6" hidden="1">
      <c r="B168" s="43" t="s">
        <v>1455</v>
      </c>
    </row>
    <row r="169" spans="1:5" ht="26.25" customHeight="1">
      <c r="A169" s="44" t="s">
        <v>1456</v>
      </c>
      <c r="B169" t="s">
        <v>1501</v>
      </c>
      <c r="C169" t="s">
        <v>1500</v>
      </c>
      <c r="D169" t="str">
        <f>+A169</f>
        <v>I11 — Human-in-the-Loop Workflow Enforcement</v>
      </c>
      <c r="E169" s="2" t="s">
        <v>1513</v>
      </c>
    </row>
    <row r="170" spans="1:5" ht="19.2" hidden="1">
      <c r="B170" s="42" t="s">
        <v>1344</v>
      </c>
    </row>
    <row r="171" spans="1:5" ht="38.4" hidden="1">
      <c r="B171" s="43" t="s">
        <v>1457</v>
      </c>
    </row>
    <row r="172" spans="1:5" ht="57.6" hidden="1">
      <c r="B172" s="43" t="s">
        <v>1458</v>
      </c>
    </row>
    <row r="173" spans="1:5" ht="38.4" hidden="1">
      <c r="B173" s="43" t="s">
        <v>1459</v>
      </c>
    </row>
    <row r="174" spans="1:5" ht="19.2" hidden="1">
      <c r="B174" s="42" t="s">
        <v>1348</v>
      </c>
    </row>
    <row r="175" spans="1:5" ht="38.4" hidden="1">
      <c r="B175" s="43" t="s">
        <v>1460</v>
      </c>
    </row>
    <row r="176" spans="1:5" ht="38.4" hidden="1">
      <c r="B176" s="43" t="s">
        <v>1461</v>
      </c>
    </row>
    <row r="177" spans="1:5" ht="38.4" hidden="1">
      <c r="B177" s="42" t="s">
        <v>1351</v>
      </c>
    </row>
    <row r="178" spans="1:5" ht="57.6" hidden="1">
      <c r="B178" s="43" t="s">
        <v>1462</v>
      </c>
    </row>
    <row r="179" spans="1:5" ht="19.2" hidden="1">
      <c r="B179" s="42" t="s">
        <v>1354</v>
      </c>
    </row>
    <row r="180" spans="1:5" ht="38.4" hidden="1">
      <c r="B180" s="43" t="s">
        <v>1463</v>
      </c>
    </row>
    <row r="181" spans="1:5" ht="38.4" hidden="1">
      <c r="B181" s="42" t="s">
        <v>1356</v>
      </c>
    </row>
    <row r="182" spans="1:5" ht="38.4" hidden="1">
      <c r="B182" s="43" t="s">
        <v>1464</v>
      </c>
    </row>
    <row r="183" spans="1:5" ht="38.4" hidden="1">
      <c r="B183" s="42" t="s">
        <v>1358</v>
      </c>
    </row>
    <row r="184" spans="1:5" ht="38.4" hidden="1">
      <c r="B184" s="43" t="s">
        <v>1465</v>
      </c>
    </row>
    <row r="185" spans="1:5" ht="24" customHeight="1">
      <c r="A185" s="44" t="s">
        <v>1466</v>
      </c>
      <c r="B185" t="s">
        <v>1501</v>
      </c>
      <c r="C185" t="s">
        <v>1500</v>
      </c>
      <c r="D185" t="str">
        <f>+A185</f>
        <v>I12 — LangSmith Observability + Evaluation Harness</v>
      </c>
      <c r="E185" s="2" t="s">
        <v>1515</v>
      </c>
    </row>
    <row r="186" spans="1:5" ht="19.2" hidden="1">
      <c r="B186" s="42" t="s">
        <v>1344</v>
      </c>
    </row>
    <row r="187" spans="1:5" ht="38.4" hidden="1">
      <c r="B187" s="43" t="s">
        <v>1467</v>
      </c>
    </row>
    <row r="188" spans="1:5" ht="57.6" hidden="1">
      <c r="B188" s="43" t="s">
        <v>1468</v>
      </c>
    </row>
    <row r="189" spans="1:5" ht="57.6" hidden="1">
      <c r="B189" s="43" t="s">
        <v>1469</v>
      </c>
    </row>
    <row r="190" spans="1:5" ht="19.2" hidden="1">
      <c r="B190" s="42" t="s">
        <v>1348</v>
      </c>
    </row>
    <row r="191" spans="1:5" ht="38.4" hidden="1">
      <c r="B191" s="43" t="s">
        <v>1470</v>
      </c>
    </row>
    <row r="192" spans="1:5" ht="38.4" hidden="1">
      <c r="B192" s="43" t="s">
        <v>1471</v>
      </c>
    </row>
    <row r="193" spans="1:5" ht="38.4" hidden="1">
      <c r="B193" s="42" t="s">
        <v>1351</v>
      </c>
    </row>
    <row r="194" spans="1:5" ht="76.8" hidden="1">
      <c r="B194" s="43" t="s">
        <v>1472</v>
      </c>
    </row>
    <row r="195" spans="1:5" ht="19.2" hidden="1">
      <c r="B195" s="42" t="s">
        <v>1354</v>
      </c>
    </row>
    <row r="196" spans="1:5" ht="38.4" hidden="1">
      <c r="B196" s="43" t="s">
        <v>1473</v>
      </c>
    </row>
    <row r="197" spans="1:5" ht="38.4" hidden="1">
      <c r="B197" s="42" t="s">
        <v>1356</v>
      </c>
    </row>
    <row r="198" spans="1:5" ht="57.6" hidden="1">
      <c r="B198" s="43" t="s">
        <v>1474</v>
      </c>
    </row>
    <row r="199" spans="1:5" ht="38.4" hidden="1">
      <c r="B199" s="42" t="s">
        <v>1358</v>
      </c>
    </row>
    <row r="200" spans="1:5" ht="57.6" hidden="1">
      <c r="B200" s="43" t="s">
        <v>1475</v>
      </c>
    </row>
    <row r="201" spans="1:5" ht="21.75" customHeight="1">
      <c r="A201" s="44" t="s">
        <v>1476</v>
      </c>
      <c r="B201" t="s">
        <v>1501</v>
      </c>
      <c r="C201" t="s">
        <v>1500</v>
      </c>
      <c r="D201" t="str">
        <f>+A201</f>
        <v>I13 — End-to-End Decision Intelligence Flow</v>
      </c>
      <c r="E201" s="2" t="s">
        <v>1516</v>
      </c>
    </row>
    <row r="202" spans="1:5" ht="19.2" hidden="1">
      <c r="B202" s="42" t="s">
        <v>1344</v>
      </c>
    </row>
    <row r="203" spans="1:5" ht="57.6" hidden="1">
      <c r="B203" s="43" t="s">
        <v>1477</v>
      </c>
    </row>
    <row r="204" spans="1:5" ht="57.6" hidden="1">
      <c r="B204" s="43" t="s">
        <v>1478</v>
      </c>
    </row>
    <row r="205" spans="1:5" ht="57.6" hidden="1">
      <c r="B205" s="43" t="s">
        <v>1479</v>
      </c>
    </row>
    <row r="206" spans="1:5" ht="19.2" hidden="1">
      <c r="B206" s="42" t="s">
        <v>1348</v>
      </c>
    </row>
    <row r="207" spans="1:5" ht="38.4" hidden="1">
      <c r="B207" s="43" t="s">
        <v>1480</v>
      </c>
    </row>
    <row r="208" spans="1:5" ht="57.6" hidden="1">
      <c r="B208" s="43" t="s">
        <v>1481</v>
      </c>
    </row>
    <row r="209" spans="1:5" ht="38.4" hidden="1">
      <c r="B209" s="42" t="s">
        <v>1351</v>
      </c>
    </row>
    <row r="210" spans="1:5" ht="57.6" hidden="1">
      <c r="B210" s="43" t="s">
        <v>1482</v>
      </c>
    </row>
    <row r="211" spans="1:5" ht="19.2" hidden="1">
      <c r="B211" s="42" t="s">
        <v>1354</v>
      </c>
    </row>
    <row r="212" spans="1:5" ht="38.4" hidden="1">
      <c r="B212" s="43" t="s">
        <v>1483</v>
      </c>
    </row>
    <row r="213" spans="1:5" ht="38.4" hidden="1">
      <c r="B213" s="42" t="s">
        <v>1356</v>
      </c>
    </row>
    <row r="214" spans="1:5" ht="57.6" hidden="1">
      <c r="B214" s="43" t="s">
        <v>1484</v>
      </c>
    </row>
    <row r="215" spans="1:5" ht="38.4" hidden="1">
      <c r="B215" s="42" t="s">
        <v>1358</v>
      </c>
    </row>
    <row r="216" spans="1:5" ht="57.6" hidden="1">
      <c r="B216" s="43" t="s">
        <v>1485</v>
      </c>
    </row>
    <row r="217" spans="1:5" ht="24.75" customHeight="1">
      <c r="A217" s="44" t="s">
        <v>1486</v>
      </c>
      <c r="B217" t="s">
        <v>1501</v>
      </c>
      <c r="C217" t="s">
        <v>1500</v>
      </c>
      <c r="D217" t="str">
        <f>+A217</f>
        <v>I14 — Governance &amp; Safety Hardening (Mandatory)</v>
      </c>
      <c r="E217" s="2" t="s">
        <v>1517</v>
      </c>
    </row>
    <row r="218" spans="1:5" ht="19.2" hidden="1">
      <c r="B218" s="42" t="s">
        <v>1344</v>
      </c>
    </row>
    <row r="219" spans="1:5" ht="57.6" hidden="1">
      <c r="B219" s="43" t="s">
        <v>1487</v>
      </c>
    </row>
    <row r="220" spans="1:5" ht="57.6" hidden="1">
      <c r="B220" s="43" t="s">
        <v>1488</v>
      </c>
    </row>
    <row r="221" spans="1:5" ht="38.4" hidden="1">
      <c r="B221" s="43" t="s">
        <v>1489</v>
      </c>
    </row>
    <row r="222" spans="1:5" ht="76.8" hidden="1">
      <c r="B222" s="43" t="s">
        <v>1490</v>
      </c>
    </row>
    <row r="223" spans="1:5" ht="57.6" hidden="1">
      <c r="B223" s="43" t="s">
        <v>1491</v>
      </c>
    </row>
    <row r="224" spans="1:5" ht="19.2" hidden="1">
      <c r="B224" s="42" t="s">
        <v>1348</v>
      </c>
    </row>
    <row r="225" spans="2:2" ht="38.4" hidden="1">
      <c r="B225" s="43" t="s">
        <v>1492</v>
      </c>
    </row>
    <row r="226" spans="2:2" ht="38.4" hidden="1">
      <c r="B226" s="43" t="s">
        <v>1493</v>
      </c>
    </row>
    <row r="227" spans="2:2" ht="38.4" hidden="1">
      <c r="B227" s="42" t="s">
        <v>1351</v>
      </c>
    </row>
    <row r="228" spans="2:2" ht="57.6" hidden="1">
      <c r="B228" s="43" t="s">
        <v>1494</v>
      </c>
    </row>
    <row r="229" spans="2:2" ht="38.4" hidden="1">
      <c r="B229" s="43" t="s">
        <v>1495</v>
      </c>
    </row>
    <row r="230" spans="2:2" ht="19.2" hidden="1">
      <c r="B230" s="42" t="s">
        <v>1354</v>
      </c>
    </row>
    <row r="231" spans="2:2" ht="38.4" hidden="1">
      <c r="B231" s="43" t="s">
        <v>1496</v>
      </c>
    </row>
    <row r="232" spans="2:2" ht="38.4" hidden="1">
      <c r="B232" s="42" t="s">
        <v>1356</v>
      </c>
    </row>
    <row r="233" spans="2:2" ht="57.6" hidden="1">
      <c r="B233" s="43" t="s">
        <v>1497</v>
      </c>
    </row>
    <row r="234" spans="2:2" ht="38.4" hidden="1">
      <c r="B234" s="42" t="s">
        <v>1358</v>
      </c>
    </row>
    <row r="235" spans="2:2" ht="38.4" hidden="1">
      <c r="B235" s="43" t="s">
        <v>1498</v>
      </c>
    </row>
    <row r="236" spans="2:2" hidden="1"/>
    <row r="243" spans="1:1">
      <c r="A243" s="16" t="s">
        <v>1638</v>
      </c>
    </row>
    <row r="244" spans="1:1">
      <c r="A244" s="16" t="s">
        <v>1639</v>
      </c>
    </row>
    <row r="245" spans="1:1">
      <c r="A245" s="16" t="s">
        <v>1640</v>
      </c>
    </row>
    <row r="246" spans="1:1">
      <c r="A246" s="16" t="s">
        <v>1641</v>
      </c>
    </row>
    <row r="247" spans="1:1">
      <c r="A247" s="16" t="s">
        <v>1642</v>
      </c>
    </row>
    <row r="248" spans="1:1">
      <c r="A248" s="16" t="s">
        <v>1643</v>
      </c>
    </row>
    <row r="249" spans="1:1">
      <c r="A249" s="16" t="s">
        <v>1644</v>
      </c>
    </row>
    <row r="250" spans="1:1">
      <c r="A250" s="16" t="s">
        <v>1645</v>
      </c>
    </row>
    <row r="251" spans="1:1">
      <c r="A251" s="16" t="s">
        <v>1646</v>
      </c>
    </row>
    <row r="261" spans="1:1">
      <c r="A261" s="16" t="s">
        <v>1647</v>
      </c>
    </row>
    <row r="262" spans="1:1">
      <c r="A262" s="16" t="s">
        <v>1648</v>
      </c>
    </row>
    <row r="263" spans="1:1">
      <c r="A263" s="16" t="s">
        <v>1649</v>
      </c>
    </row>
    <row r="264" spans="1:1">
      <c r="A264" s="16" t="s">
        <v>1650</v>
      </c>
    </row>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02680-D9E7-4812-880A-0D5C634B6A57}">
  <dimension ref="C3:K20"/>
  <sheetViews>
    <sheetView tabSelected="1" workbookViewId="0">
      <selection activeCell="M8" sqref="M8"/>
    </sheetView>
  </sheetViews>
  <sheetFormatPr baseColWidth="10" defaultRowHeight="14.4"/>
  <cols>
    <col min="3" max="3" width="17.109375" bestFit="1" customWidth="1"/>
  </cols>
  <sheetData>
    <row r="3" spans="3:11">
      <c r="C3" t="s">
        <v>1705</v>
      </c>
      <c r="E3" s="50" t="s">
        <v>1704</v>
      </c>
    </row>
    <row r="4" spans="3:11">
      <c r="C4" t="s">
        <v>1651</v>
      </c>
      <c r="E4" s="50" t="s">
        <v>1640</v>
      </c>
    </row>
    <row r="5" spans="3:11">
      <c r="C5" t="s">
        <v>1652</v>
      </c>
      <c r="E5" s="50" t="s">
        <v>1641</v>
      </c>
    </row>
    <row r="6" spans="3:11">
      <c r="C6" t="s">
        <v>1653</v>
      </c>
      <c r="E6" s="50" t="s">
        <v>1642</v>
      </c>
    </row>
    <row r="7" spans="3:11">
      <c r="C7" t="s">
        <v>1654</v>
      </c>
      <c r="E7" s="50" t="s">
        <v>1643</v>
      </c>
    </row>
    <row r="8" spans="3:11">
      <c r="C8" t="s">
        <v>1706</v>
      </c>
      <c r="E8" s="50" t="s">
        <v>1644</v>
      </c>
    </row>
    <row r="9" spans="3:11">
      <c r="C9" t="s">
        <v>1655</v>
      </c>
      <c r="E9" s="50" t="s">
        <v>1645</v>
      </c>
    </row>
    <row r="10" spans="3:11">
      <c r="C10" t="s">
        <v>1707</v>
      </c>
      <c r="E10" s="50" t="s">
        <v>1646</v>
      </c>
    </row>
    <row r="12" spans="3:11">
      <c r="D12" s="67"/>
      <c r="E12" s="50" t="s">
        <v>1708</v>
      </c>
      <c r="F12" s="67"/>
      <c r="G12" s="67"/>
      <c r="H12" s="67"/>
      <c r="I12" s="50" t="s">
        <v>1709</v>
      </c>
      <c r="J12" s="67"/>
      <c r="K12" s="67"/>
    </row>
    <row r="13" spans="3:11">
      <c r="D13" s="67"/>
      <c r="E13" s="50" t="s">
        <v>1710</v>
      </c>
      <c r="F13" s="67"/>
      <c r="G13" s="67"/>
      <c r="H13" s="67"/>
      <c r="I13" s="50" t="s">
        <v>1711</v>
      </c>
      <c r="J13" s="67"/>
      <c r="K13" s="67"/>
    </row>
    <row r="14" spans="3:11">
      <c r="E14" s="50" t="s">
        <v>1712</v>
      </c>
      <c r="F14" s="67"/>
      <c r="G14" s="67"/>
      <c r="H14" s="67"/>
      <c r="I14" s="50" t="s">
        <v>1713</v>
      </c>
      <c r="J14" s="67"/>
    </row>
    <row r="15" spans="3:11">
      <c r="E15" s="50" t="s">
        <v>1714</v>
      </c>
      <c r="F15" s="67"/>
      <c r="G15" s="67"/>
      <c r="H15" s="67"/>
      <c r="I15" s="50" t="s">
        <v>1715</v>
      </c>
      <c r="J15" s="67"/>
    </row>
    <row r="18" spans="5:5">
      <c r="E18" t="s">
        <v>2234</v>
      </c>
    </row>
    <row r="19" spans="5:5">
      <c r="E19" s="67" t="s">
        <v>2233</v>
      </c>
    </row>
    <row r="20" spans="5:5">
      <c r="E20" s="67" t="s">
        <v>2235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1348C-2000-48DD-ACC4-9EE2E70CB318}">
  <dimension ref="A1:H45"/>
  <sheetViews>
    <sheetView workbookViewId="0">
      <selection activeCell="B11" sqref="B11"/>
    </sheetView>
  </sheetViews>
  <sheetFormatPr baseColWidth="10" defaultRowHeight="14.4"/>
  <cols>
    <col min="1" max="1" width="11.5546875" style="67"/>
    <col min="2" max="2" width="28.109375" style="67" bestFit="1" customWidth="1"/>
    <col min="3" max="3" width="34.6640625" style="67" bestFit="1" customWidth="1"/>
    <col min="4" max="4" width="11.5546875" style="67"/>
    <col min="5" max="5" width="14.21875" style="67" bestFit="1" customWidth="1"/>
    <col min="6" max="6" width="66.5546875" style="67" bestFit="1" customWidth="1"/>
    <col min="7" max="16384" width="11.5546875" style="67"/>
  </cols>
  <sheetData>
    <row r="1" spans="1:8">
      <c r="A1" s="67" t="s">
        <v>1717</v>
      </c>
      <c r="B1" s="67" t="s">
        <v>1718</v>
      </c>
      <c r="C1" s="67" t="s">
        <v>1767</v>
      </c>
      <c r="D1" s="67" t="s">
        <v>1768</v>
      </c>
      <c r="E1" s="67" t="s">
        <v>1769</v>
      </c>
      <c r="F1" s="67" t="s">
        <v>1770</v>
      </c>
      <c r="G1" s="67" t="s">
        <v>1771</v>
      </c>
    </row>
    <row r="2" spans="1:8">
      <c r="A2" s="67" t="s">
        <v>1719</v>
      </c>
      <c r="B2" s="67" t="s">
        <v>1720</v>
      </c>
      <c r="C2" s="67" t="s">
        <v>1772</v>
      </c>
      <c r="D2" s="67" t="s">
        <v>1773</v>
      </c>
      <c r="E2" s="67" t="s">
        <v>1774</v>
      </c>
      <c r="F2" s="67" t="s">
        <v>1775</v>
      </c>
      <c r="G2" s="67" t="s">
        <v>1776</v>
      </c>
    </row>
    <row r="3" spans="1:8">
      <c r="A3" s="67" t="s">
        <v>1721</v>
      </c>
      <c r="B3" s="67" t="s">
        <v>1722</v>
      </c>
      <c r="C3" s="67" t="s">
        <v>1777</v>
      </c>
      <c r="D3" s="67" t="s">
        <v>1778</v>
      </c>
      <c r="E3" s="67" t="s">
        <v>1779</v>
      </c>
      <c r="F3" s="67" t="s">
        <v>1780</v>
      </c>
      <c r="G3" s="67" t="s">
        <v>407</v>
      </c>
      <c r="H3" t="s">
        <v>2234</v>
      </c>
    </row>
    <row r="4" spans="1:8">
      <c r="A4" s="67" t="s">
        <v>1723</v>
      </c>
      <c r="B4" s="67" t="s">
        <v>1724</v>
      </c>
      <c r="C4" s="67" t="s">
        <v>1781</v>
      </c>
      <c r="D4" s="67" t="s">
        <v>1782</v>
      </c>
      <c r="E4" s="67" t="s">
        <v>1779</v>
      </c>
      <c r="F4" s="67" t="s">
        <v>1783</v>
      </c>
      <c r="G4" s="67" t="s">
        <v>407</v>
      </c>
      <c r="H4" s="67" t="s">
        <v>2233</v>
      </c>
    </row>
    <row r="5" spans="1:8">
      <c r="A5" s="67" t="s">
        <v>1725</v>
      </c>
      <c r="B5" s="67" t="s">
        <v>1726</v>
      </c>
      <c r="C5" s="67" t="s">
        <v>1784</v>
      </c>
      <c r="D5" s="67" t="s">
        <v>1785</v>
      </c>
      <c r="E5" s="67" t="s">
        <v>1786</v>
      </c>
      <c r="F5" s="67" t="s">
        <v>1787</v>
      </c>
      <c r="G5" s="67" t="s">
        <v>407</v>
      </c>
      <c r="H5" s="67" t="s">
        <v>2235</v>
      </c>
    </row>
    <row r="6" spans="1:8">
      <c r="A6" s="67" t="s">
        <v>1727</v>
      </c>
      <c r="B6" s="67" t="s">
        <v>1728</v>
      </c>
      <c r="C6" s="67" t="s">
        <v>1788</v>
      </c>
      <c r="D6" s="67" t="s">
        <v>1785</v>
      </c>
      <c r="E6" s="67" t="s">
        <v>1786</v>
      </c>
      <c r="F6" s="67" t="s">
        <v>1789</v>
      </c>
      <c r="G6" s="67" t="s">
        <v>407</v>
      </c>
    </row>
    <row r="7" spans="1:8">
      <c r="A7" s="67" t="s">
        <v>1729</v>
      </c>
      <c r="B7" s="67" t="s">
        <v>1730</v>
      </c>
      <c r="C7" s="67" t="s">
        <v>1790</v>
      </c>
      <c r="D7" s="67" t="s">
        <v>1785</v>
      </c>
      <c r="E7" s="67" t="s">
        <v>1786</v>
      </c>
      <c r="F7" s="67" t="s">
        <v>1791</v>
      </c>
      <c r="G7" s="67" t="s">
        <v>407</v>
      </c>
    </row>
    <row r="8" spans="1:8">
      <c r="A8" s="67" t="s">
        <v>1731</v>
      </c>
      <c r="B8" s="67" t="s">
        <v>1732</v>
      </c>
      <c r="C8" s="67" t="s">
        <v>1792</v>
      </c>
      <c r="D8" s="67" t="s">
        <v>1552</v>
      </c>
      <c r="E8" s="67" t="s">
        <v>1793</v>
      </c>
      <c r="F8" s="67" t="s">
        <v>1794</v>
      </c>
      <c r="G8" s="67" t="s">
        <v>407</v>
      </c>
    </row>
    <row r="9" spans="1:8">
      <c r="A9" s="67" t="s">
        <v>1733</v>
      </c>
      <c r="B9" s="67" t="s">
        <v>1734</v>
      </c>
      <c r="C9" s="67" t="s">
        <v>1795</v>
      </c>
      <c r="D9" s="67" t="s">
        <v>1778</v>
      </c>
      <c r="E9" s="67" t="s">
        <v>1779</v>
      </c>
      <c r="F9" s="67" t="s">
        <v>1796</v>
      </c>
      <c r="G9" s="67" t="s">
        <v>407</v>
      </c>
    </row>
    <row r="10" spans="1:8">
      <c r="A10" s="67" t="s">
        <v>1735</v>
      </c>
      <c r="B10" s="67" t="s">
        <v>1736</v>
      </c>
      <c r="C10" s="67" t="s">
        <v>1797</v>
      </c>
      <c r="D10" s="67" t="s">
        <v>1798</v>
      </c>
      <c r="E10" s="67" t="s">
        <v>1793</v>
      </c>
      <c r="F10" s="67" t="s">
        <v>1799</v>
      </c>
      <c r="G10" s="67" t="s">
        <v>407</v>
      </c>
    </row>
    <row r="11" spans="1:8">
      <c r="A11" s="67" t="s">
        <v>1737</v>
      </c>
      <c r="B11" s="67" t="s">
        <v>1738</v>
      </c>
      <c r="C11" s="67" t="s">
        <v>1800</v>
      </c>
      <c r="D11" s="67" t="s">
        <v>1798</v>
      </c>
      <c r="E11" s="67" t="s">
        <v>1793</v>
      </c>
      <c r="F11" s="67" t="s">
        <v>1801</v>
      </c>
      <c r="G11" s="67" t="s">
        <v>1716</v>
      </c>
    </row>
    <row r="12" spans="1:8">
      <c r="A12" s="67" t="s">
        <v>1739</v>
      </c>
      <c r="B12" s="67" t="s">
        <v>1740</v>
      </c>
      <c r="C12" s="67" t="s">
        <v>1802</v>
      </c>
      <c r="D12" s="67" t="s">
        <v>1803</v>
      </c>
      <c r="E12" s="67" t="s">
        <v>1786</v>
      </c>
      <c r="F12" s="67" t="s">
        <v>1804</v>
      </c>
    </row>
    <row r="13" spans="1:8">
      <c r="A13" s="67" t="s">
        <v>1741</v>
      </c>
      <c r="B13" s="67" t="s">
        <v>1742</v>
      </c>
      <c r="C13" s="67" t="s">
        <v>1805</v>
      </c>
      <c r="D13" s="67" t="s">
        <v>1803</v>
      </c>
      <c r="E13" s="67" t="s">
        <v>1786</v>
      </c>
      <c r="F13" s="67" t="s">
        <v>1806</v>
      </c>
    </row>
    <row r="14" spans="1:8">
      <c r="A14" s="67" t="s">
        <v>1743</v>
      </c>
      <c r="B14" s="67" t="s">
        <v>1744</v>
      </c>
      <c r="C14" s="67" t="s">
        <v>1807</v>
      </c>
      <c r="D14" s="67" t="s">
        <v>1808</v>
      </c>
      <c r="E14" s="67" t="s">
        <v>1786</v>
      </c>
      <c r="F14" s="67" t="s">
        <v>1809</v>
      </c>
    </row>
    <row r="15" spans="1:8">
      <c r="A15" s="67" t="s">
        <v>1745</v>
      </c>
      <c r="B15" s="67" t="s">
        <v>1746</v>
      </c>
      <c r="C15" s="67" t="s">
        <v>1810</v>
      </c>
      <c r="D15" s="67" t="s">
        <v>1811</v>
      </c>
      <c r="E15" s="67" t="s">
        <v>1779</v>
      </c>
      <c r="F15" s="67" t="s">
        <v>1812</v>
      </c>
    </row>
    <row r="16" spans="1:8">
      <c r="A16" s="67" t="s">
        <v>1747</v>
      </c>
      <c r="B16" s="67" t="s">
        <v>1748</v>
      </c>
      <c r="C16" s="67" t="s">
        <v>1813</v>
      </c>
      <c r="D16" s="67" t="s">
        <v>1811</v>
      </c>
      <c r="E16" s="67" t="s">
        <v>1779</v>
      </c>
      <c r="F16" s="67" t="s">
        <v>1814</v>
      </c>
    </row>
    <row r="17" spans="1:6">
      <c r="A17" s="67" t="s">
        <v>1749</v>
      </c>
      <c r="B17" s="67" t="s">
        <v>1750</v>
      </c>
      <c r="C17" s="67" t="s">
        <v>1815</v>
      </c>
      <c r="D17" s="67" t="s">
        <v>1811</v>
      </c>
      <c r="E17" s="67" t="s">
        <v>1779</v>
      </c>
      <c r="F17" s="67" t="s">
        <v>1816</v>
      </c>
    </row>
    <row r="18" spans="1:6">
      <c r="A18" s="67" t="s">
        <v>1751</v>
      </c>
      <c r="B18" s="67" t="s">
        <v>1752</v>
      </c>
      <c r="C18" s="67" t="s">
        <v>1817</v>
      </c>
      <c r="D18" s="67" t="s">
        <v>1818</v>
      </c>
      <c r="E18" s="67" t="s">
        <v>1786</v>
      </c>
      <c r="F18" s="67" t="s">
        <v>1819</v>
      </c>
    </row>
    <row r="19" spans="1:6">
      <c r="A19" s="67" t="s">
        <v>1753</v>
      </c>
      <c r="B19" s="67" t="s">
        <v>1754</v>
      </c>
      <c r="C19" s="67" t="s">
        <v>1820</v>
      </c>
      <c r="D19" s="67" t="s">
        <v>1821</v>
      </c>
      <c r="E19" s="67" t="s">
        <v>1786</v>
      </c>
      <c r="F19" s="67" t="s">
        <v>1822</v>
      </c>
    </row>
    <row r="20" spans="1:6">
      <c r="A20" s="67" t="s">
        <v>1755</v>
      </c>
      <c r="B20" s="67" t="s">
        <v>1756</v>
      </c>
      <c r="C20" s="67" t="s">
        <v>1823</v>
      </c>
      <c r="D20" s="67" t="s">
        <v>1803</v>
      </c>
      <c r="E20" s="67" t="s">
        <v>1786</v>
      </c>
      <c r="F20" s="67" t="s">
        <v>1824</v>
      </c>
    </row>
    <row r="21" spans="1:6">
      <c r="A21" s="67" t="s">
        <v>1757</v>
      </c>
      <c r="B21" s="67" t="s">
        <v>1758</v>
      </c>
      <c r="C21" s="67" t="s">
        <v>1825</v>
      </c>
      <c r="D21" s="67" t="s">
        <v>1808</v>
      </c>
      <c r="E21" s="67" t="s">
        <v>1786</v>
      </c>
      <c r="F21" s="67" t="s">
        <v>1826</v>
      </c>
    </row>
    <row r="22" spans="1:6">
      <c r="A22" s="67" t="s">
        <v>1759</v>
      </c>
      <c r="B22" s="67" t="s">
        <v>1760</v>
      </c>
      <c r="C22" s="67" t="s">
        <v>1827</v>
      </c>
      <c r="D22" s="67" t="s">
        <v>1808</v>
      </c>
      <c r="E22" s="67" t="s">
        <v>1786</v>
      </c>
      <c r="F22" s="67" t="s">
        <v>1828</v>
      </c>
    </row>
    <row r="23" spans="1:6">
      <c r="A23" s="67" t="s">
        <v>1761</v>
      </c>
      <c r="B23" s="67" t="s">
        <v>1762</v>
      </c>
      <c r="C23" s="67" t="s">
        <v>1829</v>
      </c>
      <c r="D23" s="67" t="s">
        <v>1808</v>
      </c>
      <c r="E23" s="67" t="s">
        <v>1786</v>
      </c>
      <c r="F23" s="67" t="s">
        <v>1830</v>
      </c>
    </row>
    <row r="24" spans="1:6">
      <c r="A24" s="67" t="s">
        <v>1763</v>
      </c>
      <c r="B24" s="67" t="s">
        <v>1764</v>
      </c>
      <c r="C24" s="67" t="s">
        <v>1831</v>
      </c>
      <c r="D24" s="67" t="s">
        <v>1803</v>
      </c>
      <c r="E24" s="67" t="s">
        <v>1786</v>
      </c>
      <c r="F24" s="67" t="s">
        <v>1832</v>
      </c>
    </row>
    <row r="25" spans="1:6">
      <c r="A25" s="67" t="s">
        <v>1765</v>
      </c>
      <c r="B25" s="67" t="s">
        <v>1766</v>
      </c>
      <c r="C25" s="67" t="s">
        <v>1833</v>
      </c>
      <c r="D25" s="67" t="s">
        <v>1803</v>
      </c>
      <c r="E25" s="67" t="s">
        <v>1786</v>
      </c>
      <c r="F25" s="67" t="s">
        <v>1834</v>
      </c>
    </row>
    <row r="26" spans="1:6">
      <c r="A26" s="67" t="s">
        <v>2236</v>
      </c>
      <c r="B26" s="67" t="s">
        <v>2237</v>
      </c>
      <c r="C26" s="67" t="s">
        <v>2238</v>
      </c>
      <c r="D26" s="67" t="s">
        <v>1782</v>
      </c>
      <c r="E26" s="67" t="s">
        <v>2239</v>
      </c>
      <c r="F26" s="67" t="s">
        <v>2240</v>
      </c>
    </row>
    <row r="27" spans="1:6">
      <c r="A27" s="67" t="s">
        <v>2241</v>
      </c>
      <c r="B27" s="67" t="s">
        <v>2242</v>
      </c>
      <c r="C27" s="67" t="s">
        <v>2243</v>
      </c>
      <c r="D27" s="67" t="s">
        <v>1782</v>
      </c>
      <c r="E27" s="67" t="s">
        <v>2239</v>
      </c>
      <c r="F27" s="67" t="s">
        <v>2240</v>
      </c>
    </row>
    <row r="28" spans="1:6">
      <c r="A28" s="67" t="s">
        <v>2244</v>
      </c>
      <c r="B28" s="67" t="s">
        <v>2245</v>
      </c>
      <c r="C28" s="67" t="s">
        <v>2246</v>
      </c>
      <c r="D28" s="67" t="s">
        <v>1782</v>
      </c>
      <c r="E28" s="67" t="s">
        <v>2239</v>
      </c>
      <c r="F28" s="67" t="s">
        <v>2240</v>
      </c>
    </row>
    <row r="29" spans="1:6">
      <c r="A29" s="67" t="s">
        <v>2247</v>
      </c>
      <c r="B29" s="67" t="s">
        <v>2248</v>
      </c>
      <c r="C29" s="67" t="s">
        <v>2249</v>
      </c>
      <c r="D29" s="67" t="s">
        <v>1782</v>
      </c>
      <c r="E29" s="67" t="s">
        <v>2239</v>
      </c>
      <c r="F29" s="67" t="s">
        <v>2240</v>
      </c>
    </row>
    <row r="30" spans="1:6">
      <c r="A30" s="67" t="s">
        <v>2250</v>
      </c>
      <c r="B30" s="67" t="s">
        <v>2251</v>
      </c>
      <c r="C30" s="67" t="s">
        <v>2252</v>
      </c>
      <c r="D30" s="67" t="s">
        <v>1782</v>
      </c>
      <c r="E30" s="67" t="s">
        <v>2239</v>
      </c>
      <c r="F30" s="67" t="s">
        <v>2240</v>
      </c>
    </row>
    <row r="31" spans="1:6">
      <c r="A31" s="67" t="s">
        <v>2253</v>
      </c>
      <c r="B31" s="67" t="s">
        <v>2254</v>
      </c>
      <c r="C31" s="67" t="s">
        <v>2255</v>
      </c>
      <c r="D31" s="67" t="s">
        <v>1782</v>
      </c>
      <c r="E31" s="67" t="s">
        <v>2239</v>
      </c>
      <c r="F31" s="67" t="s">
        <v>2240</v>
      </c>
    </row>
    <row r="32" spans="1:6">
      <c r="A32" s="67" t="s">
        <v>2256</v>
      </c>
      <c r="B32" s="67" t="s">
        <v>2257</v>
      </c>
      <c r="C32" s="67" t="s">
        <v>2258</v>
      </c>
      <c r="D32" s="67" t="s">
        <v>1552</v>
      </c>
      <c r="E32" s="67" t="s">
        <v>2239</v>
      </c>
      <c r="F32" s="67" t="s">
        <v>2240</v>
      </c>
    </row>
    <row r="33" spans="1:6">
      <c r="A33" s="67" t="s">
        <v>2259</v>
      </c>
      <c r="B33" s="67" t="s">
        <v>2260</v>
      </c>
      <c r="C33" s="67" t="s">
        <v>2261</v>
      </c>
      <c r="D33" s="67" t="s">
        <v>1552</v>
      </c>
      <c r="E33" s="67" t="s">
        <v>2239</v>
      </c>
      <c r="F33" s="67" t="s">
        <v>2240</v>
      </c>
    </row>
    <row r="34" spans="1:6">
      <c r="A34" s="67" t="s">
        <v>2262</v>
      </c>
      <c r="B34" s="67" t="s">
        <v>2263</v>
      </c>
      <c r="C34" s="67" t="s">
        <v>2264</v>
      </c>
      <c r="D34" s="67" t="s">
        <v>1552</v>
      </c>
      <c r="E34" s="67" t="s">
        <v>2239</v>
      </c>
      <c r="F34" s="67" t="s">
        <v>2240</v>
      </c>
    </row>
    <row r="35" spans="1:6">
      <c r="A35" s="67" t="s">
        <v>2265</v>
      </c>
      <c r="B35" s="67" t="s">
        <v>2266</v>
      </c>
      <c r="C35" s="67" t="s">
        <v>2267</v>
      </c>
      <c r="D35" s="67" t="s">
        <v>1798</v>
      </c>
      <c r="E35" s="67" t="s">
        <v>2268</v>
      </c>
      <c r="F35" s="67" t="s">
        <v>2269</v>
      </c>
    </row>
    <row r="36" spans="1:6">
      <c r="A36" s="67" t="s">
        <v>2270</v>
      </c>
      <c r="B36" s="67" t="s">
        <v>2271</v>
      </c>
      <c r="C36" s="67" t="s">
        <v>2272</v>
      </c>
      <c r="D36" s="67" t="s">
        <v>1798</v>
      </c>
      <c r="E36" s="67" t="s">
        <v>2268</v>
      </c>
      <c r="F36" s="67" t="s">
        <v>2269</v>
      </c>
    </row>
    <row r="37" spans="1:6">
      <c r="A37" s="67" t="s">
        <v>2273</v>
      </c>
      <c r="B37" s="67" t="s">
        <v>2274</v>
      </c>
      <c r="C37" s="67" t="s">
        <v>2275</v>
      </c>
      <c r="D37" s="67" t="s">
        <v>1798</v>
      </c>
      <c r="E37" s="67" t="s">
        <v>2268</v>
      </c>
      <c r="F37" s="67" t="s">
        <v>2269</v>
      </c>
    </row>
    <row r="38" spans="1:6">
      <c r="A38" s="67" t="s">
        <v>2276</v>
      </c>
      <c r="B38" s="67" t="s">
        <v>2277</v>
      </c>
      <c r="C38" s="67" t="s">
        <v>2278</v>
      </c>
      <c r="D38" s="67" t="s">
        <v>1633</v>
      </c>
      <c r="E38" s="67" t="s">
        <v>2268</v>
      </c>
      <c r="F38" s="67" t="s">
        <v>2269</v>
      </c>
    </row>
    <row r="39" spans="1:6">
      <c r="A39" s="67" t="s">
        <v>2279</v>
      </c>
      <c r="B39" s="67" t="s">
        <v>2280</v>
      </c>
      <c r="C39" s="67" t="s">
        <v>2281</v>
      </c>
      <c r="D39" s="67" t="s">
        <v>1552</v>
      </c>
      <c r="E39" s="67" t="s">
        <v>2282</v>
      </c>
      <c r="F39" s="67" t="s">
        <v>2269</v>
      </c>
    </row>
    <row r="40" spans="1:6">
      <c r="A40" s="67" t="s">
        <v>2283</v>
      </c>
      <c r="B40" s="67" t="s">
        <v>2284</v>
      </c>
      <c r="C40" s="67" t="s">
        <v>2285</v>
      </c>
      <c r="D40" s="67" t="s">
        <v>2286</v>
      </c>
      <c r="E40" s="67" t="s">
        <v>2287</v>
      </c>
      <c r="F40" s="67" t="s">
        <v>2269</v>
      </c>
    </row>
    <row r="41" spans="1:6">
      <c r="A41" s="67" t="s">
        <v>2288</v>
      </c>
      <c r="B41" s="67" t="s">
        <v>2289</v>
      </c>
      <c r="C41" s="67" t="s">
        <v>2290</v>
      </c>
      <c r="D41" s="67" t="s">
        <v>2291</v>
      </c>
      <c r="E41" s="67" t="s">
        <v>1786</v>
      </c>
      <c r="F41" s="67" t="s">
        <v>2269</v>
      </c>
    </row>
    <row r="42" spans="1:6">
      <c r="A42" s="67" t="s">
        <v>2292</v>
      </c>
      <c r="B42" s="67" t="s">
        <v>2293</v>
      </c>
      <c r="C42" s="67" t="s">
        <v>2294</v>
      </c>
      <c r="D42" s="67" t="s">
        <v>2291</v>
      </c>
      <c r="E42" s="67" t="s">
        <v>1786</v>
      </c>
      <c r="F42" s="67" t="s">
        <v>2269</v>
      </c>
    </row>
    <row r="43" spans="1:6">
      <c r="A43" s="67" t="s">
        <v>2295</v>
      </c>
      <c r="B43" s="67" t="s">
        <v>2296</v>
      </c>
      <c r="C43" s="67" t="s">
        <v>2297</v>
      </c>
      <c r="D43" s="67" t="s">
        <v>2291</v>
      </c>
      <c r="E43" s="67" t="s">
        <v>1793</v>
      </c>
      <c r="F43" s="67" t="s">
        <v>2269</v>
      </c>
    </row>
    <row r="44" spans="1:6">
      <c r="A44" s="67" t="s">
        <v>2298</v>
      </c>
      <c r="B44" s="67" t="s">
        <v>2299</v>
      </c>
      <c r="C44" s="67" t="s">
        <v>2300</v>
      </c>
      <c r="D44" s="67" t="s">
        <v>2291</v>
      </c>
      <c r="E44" s="67" t="s">
        <v>1779</v>
      </c>
      <c r="F44" s="67" t="s">
        <v>2269</v>
      </c>
    </row>
    <row r="45" spans="1:6">
      <c r="A45" s="67" t="s">
        <v>2301</v>
      </c>
      <c r="B45" s="67" t="s">
        <v>2302</v>
      </c>
      <c r="C45" s="67" t="s">
        <v>2303</v>
      </c>
      <c r="D45" s="67" t="s">
        <v>2304</v>
      </c>
      <c r="E45" s="67" t="s">
        <v>1793</v>
      </c>
      <c r="F45" s="6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32AB9-E7A1-488E-B869-58F1C1CD94BA}">
  <dimension ref="A1:K217"/>
  <sheetViews>
    <sheetView topLeftCell="A57" workbookViewId="0">
      <selection activeCell="A76" sqref="A76"/>
    </sheetView>
  </sheetViews>
  <sheetFormatPr baseColWidth="10" defaultRowHeight="14.4"/>
  <cols>
    <col min="1" max="1" width="34.5546875" customWidth="1"/>
    <col min="2" max="2" width="45.5546875" bestFit="1" customWidth="1"/>
    <col min="3" max="3" width="72.77734375" customWidth="1"/>
    <col min="4" max="4" width="26.6640625" bestFit="1" customWidth="1"/>
  </cols>
  <sheetData>
    <row r="1" spans="1:10">
      <c r="A1" t="s">
        <v>1848</v>
      </c>
      <c r="B1" t="s">
        <v>1849</v>
      </c>
      <c r="C1" t="s">
        <v>1850</v>
      </c>
      <c r="D1" t="s">
        <v>1851</v>
      </c>
      <c r="F1" t="s">
        <v>1852</v>
      </c>
      <c r="G1" t="s">
        <v>1853</v>
      </c>
      <c r="H1" t="s">
        <v>1852</v>
      </c>
      <c r="I1" t="s">
        <v>1854</v>
      </c>
    </row>
    <row r="3" spans="1:10">
      <c r="A3" t="s">
        <v>1855</v>
      </c>
      <c r="B3" t="s">
        <v>1856</v>
      </c>
      <c r="C3">
        <v>20</v>
      </c>
      <c r="D3" t="s">
        <v>1857</v>
      </c>
    </row>
    <row r="4" spans="1:10">
      <c r="A4" t="s">
        <v>1858</v>
      </c>
      <c r="B4" t="s">
        <v>1859</v>
      </c>
      <c r="C4">
        <v>14</v>
      </c>
      <c r="D4" t="s">
        <v>1860</v>
      </c>
    </row>
    <row r="5" spans="1:10">
      <c r="A5" t="s">
        <v>1861</v>
      </c>
      <c r="B5" t="s">
        <v>1862</v>
      </c>
      <c r="C5">
        <v>39</v>
      </c>
      <c r="D5" t="s">
        <v>1863</v>
      </c>
    </row>
    <row r="6" spans="1:10">
      <c r="A6" t="s">
        <v>1864</v>
      </c>
      <c r="B6" t="s">
        <v>1865</v>
      </c>
      <c r="C6">
        <v>8</v>
      </c>
      <c r="D6" t="s">
        <v>1866</v>
      </c>
    </row>
    <row r="7" spans="1:10">
      <c r="A7" t="s">
        <v>1867</v>
      </c>
      <c r="B7" t="s">
        <v>1868</v>
      </c>
      <c r="C7">
        <v>18</v>
      </c>
      <c r="D7" t="s">
        <v>1552</v>
      </c>
    </row>
    <row r="8" spans="1:10">
      <c r="A8" t="s">
        <v>1869</v>
      </c>
      <c r="B8" t="s">
        <v>1870</v>
      </c>
      <c r="C8">
        <v>4</v>
      </c>
      <c r="D8" t="s">
        <v>1871</v>
      </c>
    </row>
    <row r="10" spans="1:10">
      <c r="A10" s="69" t="s">
        <v>1872</v>
      </c>
    </row>
    <row r="11" spans="1:10">
      <c r="A11" t="s">
        <v>1873</v>
      </c>
      <c r="B11" t="s">
        <v>1874</v>
      </c>
      <c r="C11" t="s">
        <v>1875</v>
      </c>
      <c r="D11" t="s">
        <v>1876</v>
      </c>
      <c r="F11" t="s">
        <v>1877</v>
      </c>
      <c r="G11" t="s">
        <v>1878</v>
      </c>
      <c r="H11" t="s">
        <v>1879</v>
      </c>
      <c r="I11" t="s">
        <v>1878</v>
      </c>
      <c r="J11" t="s">
        <v>1877</v>
      </c>
    </row>
    <row r="13" spans="1:10">
      <c r="A13" t="s">
        <v>1880</v>
      </c>
      <c r="B13" t="s">
        <v>1881</v>
      </c>
      <c r="C13" t="s">
        <v>1882</v>
      </c>
      <c r="D13">
        <v>12</v>
      </c>
      <c r="E13" t="s">
        <v>1883</v>
      </c>
    </row>
    <row r="14" spans="1:10">
      <c r="A14" t="s">
        <v>1884</v>
      </c>
      <c r="B14" t="s">
        <v>1885</v>
      </c>
      <c r="C14" t="s">
        <v>1886</v>
      </c>
      <c r="D14">
        <v>8</v>
      </c>
      <c r="E14" t="s">
        <v>1883</v>
      </c>
    </row>
    <row r="15" spans="1:10" s="67" customFormat="1">
      <c r="A15" s="67" t="s">
        <v>1887</v>
      </c>
      <c r="B15" s="67" t="s">
        <v>1888</v>
      </c>
      <c r="C15" s="67" t="s">
        <v>1889</v>
      </c>
      <c r="D15" s="67">
        <v>14</v>
      </c>
      <c r="E15" s="67" t="s">
        <v>1883</v>
      </c>
    </row>
    <row r="16" spans="1:10" s="67" customFormat="1">
      <c r="A16" s="67" t="s">
        <v>1890</v>
      </c>
      <c r="B16" s="67" t="s">
        <v>1891</v>
      </c>
      <c r="C16" s="67" t="s">
        <v>1892</v>
      </c>
      <c r="D16" s="67">
        <v>6</v>
      </c>
      <c r="E16" s="67" t="s">
        <v>1883</v>
      </c>
    </row>
    <row r="17" spans="1:11" s="67" customFormat="1">
      <c r="A17" s="67" t="s">
        <v>1893</v>
      </c>
      <c r="B17" s="67" t="s">
        <v>1894</v>
      </c>
      <c r="C17" s="67" t="s">
        <v>1895</v>
      </c>
      <c r="D17" s="67">
        <v>8</v>
      </c>
      <c r="E17" s="67" t="s">
        <v>1883</v>
      </c>
    </row>
    <row r="18" spans="1:11" s="67" customFormat="1">
      <c r="A18" s="67" t="s">
        <v>1896</v>
      </c>
      <c r="B18" s="67" t="s">
        <v>1897</v>
      </c>
      <c r="C18" s="67" t="s">
        <v>1898</v>
      </c>
      <c r="D18" s="67">
        <v>9</v>
      </c>
      <c r="E18" s="67" t="s">
        <v>1883</v>
      </c>
    </row>
    <row r="19" spans="1:11" s="67" customFormat="1">
      <c r="A19" s="67" t="s">
        <v>1899</v>
      </c>
      <c r="B19" s="67" t="s">
        <v>1900</v>
      </c>
      <c r="C19" s="67" t="s">
        <v>1901</v>
      </c>
      <c r="D19" s="67">
        <v>10</v>
      </c>
      <c r="E19" s="67" t="s">
        <v>1883</v>
      </c>
    </row>
    <row r="20" spans="1:11" s="67" customFormat="1">
      <c r="A20" s="67" t="s">
        <v>1902</v>
      </c>
      <c r="B20" s="67" t="s">
        <v>1903</v>
      </c>
      <c r="C20" s="67" t="s">
        <v>1904</v>
      </c>
      <c r="D20" s="67">
        <v>6</v>
      </c>
      <c r="E20" s="67" t="s">
        <v>1883</v>
      </c>
    </row>
    <row r="21" spans="1:11" s="67" customFormat="1">
      <c r="A21" s="67" t="s">
        <v>1905</v>
      </c>
      <c r="B21" s="67" t="s">
        <v>1906</v>
      </c>
      <c r="C21" s="67" t="s">
        <v>1907</v>
      </c>
      <c r="D21" s="67">
        <v>8</v>
      </c>
      <c r="E21" s="67" t="s">
        <v>1908</v>
      </c>
    </row>
    <row r="22" spans="1:11" s="67" customFormat="1">
      <c r="A22" s="67" t="s">
        <v>1909</v>
      </c>
      <c r="B22" s="67" t="s">
        <v>1910</v>
      </c>
      <c r="C22" s="67" t="s">
        <v>1911</v>
      </c>
      <c r="D22" s="67">
        <v>10</v>
      </c>
      <c r="E22" s="67" t="s">
        <v>1908</v>
      </c>
    </row>
    <row r="23" spans="1:11" s="67" customFormat="1">
      <c r="A23" s="67" t="s">
        <v>1912</v>
      </c>
      <c r="B23" s="67" t="s">
        <v>1913</v>
      </c>
      <c r="C23" s="67" t="s">
        <v>1914</v>
      </c>
      <c r="D23" s="67">
        <v>8</v>
      </c>
      <c r="E23" s="67" t="s">
        <v>1908</v>
      </c>
    </row>
    <row r="24" spans="1:11" s="67" customFormat="1">
      <c r="A24" s="67" t="s">
        <v>1915</v>
      </c>
      <c r="B24" s="67" t="s">
        <v>1916</v>
      </c>
      <c r="C24" s="67" t="s">
        <v>1917</v>
      </c>
      <c r="D24" s="67">
        <v>4</v>
      </c>
      <c r="E24" s="67" t="s">
        <v>1908</v>
      </c>
    </row>
    <row r="25" spans="1:11" s="67" customFormat="1"/>
    <row r="26" spans="1:11" s="67" customFormat="1"/>
    <row r="27" spans="1:11" s="67" customFormat="1"/>
    <row r="28" spans="1:11" s="67" customFormat="1">
      <c r="A28" s="69" t="s">
        <v>1835</v>
      </c>
    </row>
    <row r="29" spans="1:11" s="67" customFormat="1"/>
    <row r="30" spans="1:11" s="67" customFormat="1">
      <c r="A30" s="69" t="s">
        <v>1836</v>
      </c>
    </row>
    <row r="31" spans="1:11" s="67" customFormat="1"/>
    <row r="32" spans="1:11" s="67" customFormat="1">
      <c r="A32" s="67" t="s">
        <v>1918</v>
      </c>
      <c r="B32" s="67" t="s">
        <v>1919</v>
      </c>
      <c r="C32" s="67" t="s">
        <v>1851</v>
      </c>
      <c r="D32" s="67" t="s">
        <v>1876</v>
      </c>
      <c r="E32" s="67" t="s">
        <v>1920</v>
      </c>
      <c r="G32" s="67" t="s">
        <v>1921</v>
      </c>
      <c r="H32" s="67" t="s">
        <v>1922</v>
      </c>
      <c r="I32" s="67" t="s">
        <v>1854</v>
      </c>
      <c r="J32" s="67" t="s">
        <v>1877</v>
      </c>
      <c r="K32" s="67" t="s">
        <v>1853</v>
      </c>
    </row>
    <row r="33" spans="1:5" s="67" customFormat="1"/>
    <row r="34" spans="1:5" s="67" customFormat="1">
      <c r="A34" s="67" t="s">
        <v>1923</v>
      </c>
      <c r="B34" s="67" t="s">
        <v>1924</v>
      </c>
      <c r="C34" s="67" t="s">
        <v>1925</v>
      </c>
      <c r="D34" s="67" t="s">
        <v>1883</v>
      </c>
      <c r="E34" s="67" t="s">
        <v>1926</v>
      </c>
    </row>
    <row r="35" spans="1:5" s="67" customFormat="1">
      <c r="A35" s="67" t="s">
        <v>1927</v>
      </c>
      <c r="B35" s="67" t="s">
        <v>1928</v>
      </c>
      <c r="C35" s="67" t="s">
        <v>1929</v>
      </c>
      <c r="D35" s="67" t="s">
        <v>1883</v>
      </c>
      <c r="E35" s="67" t="s">
        <v>1926</v>
      </c>
    </row>
    <row r="36" spans="1:5" s="67" customFormat="1">
      <c r="A36" s="67" t="s">
        <v>1930</v>
      </c>
      <c r="B36" s="67" t="s">
        <v>1931</v>
      </c>
      <c r="C36" s="67" t="s">
        <v>1932</v>
      </c>
      <c r="D36" s="67" t="s">
        <v>1883</v>
      </c>
      <c r="E36" s="67" t="s">
        <v>1926</v>
      </c>
    </row>
    <row r="37" spans="1:5" s="67" customFormat="1">
      <c r="A37" s="67" t="s">
        <v>1933</v>
      </c>
      <c r="B37" s="67" t="s">
        <v>1934</v>
      </c>
      <c r="C37" s="67" t="s">
        <v>1935</v>
      </c>
      <c r="D37" s="67" t="s">
        <v>1883</v>
      </c>
      <c r="E37" s="67" t="s">
        <v>1926</v>
      </c>
    </row>
    <row r="38" spans="1:5" s="67" customFormat="1">
      <c r="A38" s="67" t="s">
        <v>1936</v>
      </c>
      <c r="B38" s="67" t="s">
        <v>1937</v>
      </c>
      <c r="C38" s="67" t="s">
        <v>1938</v>
      </c>
      <c r="D38" s="67" t="s">
        <v>1883</v>
      </c>
      <c r="E38" s="67" t="s">
        <v>1926</v>
      </c>
    </row>
    <row r="39" spans="1:5" s="67" customFormat="1">
      <c r="A39" s="67" t="s">
        <v>1939</v>
      </c>
      <c r="B39" s="67" t="s">
        <v>1940</v>
      </c>
      <c r="C39" s="67" t="s">
        <v>1941</v>
      </c>
      <c r="D39" s="67" t="s">
        <v>1883</v>
      </c>
      <c r="E39" s="67" t="s">
        <v>1926</v>
      </c>
    </row>
    <row r="40" spans="1:5" s="67" customFormat="1">
      <c r="A40" s="67" t="s">
        <v>1942</v>
      </c>
      <c r="B40" s="67" t="s">
        <v>1943</v>
      </c>
      <c r="C40" s="67" t="s">
        <v>1944</v>
      </c>
      <c r="D40" s="67" t="s">
        <v>1883</v>
      </c>
      <c r="E40" s="67" t="s">
        <v>1926</v>
      </c>
    </row>
    <row r="41" spans="1:5" s="67" customFormat="1">
      <c r="A41" s="67" t="s">
        <v>1945</v>
      </c>
      <c r="B41" s="67" t="s">
        <v>1946</v>
      </c>
      <c r="C41" s="67" t="s">
        <v>1947</v>
      </c>
      <c r="D41" s="67" t="s">
        <v>1883</v>
      </c>
      <c r="E41" s="67" t="s">
        <v>1926</v>
      </c>
    </row>
    <row r="42" spans="1:5" s="67" customFormat="1">
      <c r="A42" s="67" t="s">
        <v>1948</v>
      </c>
      <c r="B42" s="67" t="s">
        <v>1949</v>
      </c>
      <c r="C42" s="67" t="s">
        <v>1950</v>
      </c>
      <c r="D42" s="67" t="s">
        <v>1883</v>
      </c>
      <c r="E42" s="67" t="s">
        <v>1926</v>
      </c>
    </row>
    <row r="43" spans="1:5" s="67" customFormat="1">
      <c r="A43" s="67" t="s">
        <v>1951</v>
      </c>
      <c r="B43" s="67" t="s">
        <v>1952</v>
      </c>
      <c r="C43" s="67" t="s">
        <v>1953</v>
      </c>
      <c r="D43" s="67" t="s">
        <v>1883</v>
      </c>
      <c r="E43" s="67" t="s">
        <v>1926</v>
      </c>
    </row>
    <row r="44" spans="1:5" s="67" customFormat="1">
      <c r="A44" s="67" t="s">
        <v>1954</v>
      </c>
      <c r="B44" s="67" t="s">
        <v>1955</v>
      </c>
      <c r="C44" s="67" t="s">
        <v>1956</v>
      </c>
      <c r="D44" s="67" t="s">
        <v>1908</v>
      </c>
      <c r="E44" s="67" t="s">
        <v>1926</v>
      </c>
    </row>
    <row r="45" spans="1:5" s="67" customFormat="1">
      <c r="A45" s="67" t="s">
        <v>1957</v>
      </c>
      <c r="B45" s="67" t="s">
        <v>1958</v>
      </c>
      <c r="C45" s="67" t="s">
        <v>1959</v>
      </c>
      <c r="D45" s="67" t="s">
        <v>1908</v>
      </c>
      <c r="E45" s="67" t="s">
        <v>1926</v>
      </c>
    </row>
    <row r="46" spans="1:5" s="67" customFormat="1"/>
    <row r="47" spans="1:5" s="67" customFormat="1"/>
    <row r="48" spans="1:5" s="67" customFormat="1"/>
    <row r="49" spans="1:11" s="67" customFormat="1">
      <c r="A49" s="69" t="s">
        <v>1837</v>
      </c>
    </row>
    <row r="50" spans="1:11" s="67" customFormat="1"/>
    <row r="51" spans="1:11" s="67" customFormat="1">
      <c r="A51" s="67" t="s">
        <v>1918</v>
      </c>
      <c r="B51" s="67" t="s">
        <v>1919</v>
      </c>
      <c r="C51" s="67" t="s">
        <v>1851</v>
      </c>
      <c r="D51" s="67" t="s">
        <v>1876</v>
      </c>
      <c r="E51" s="67" t="s">
        <v>1920</v>
      </c>
      <c r="G51" s="67" t="s">
        <v>1921</v>
      </c>
      <c r="H51" s="67" t="s">
        <v>1922</v>
      </c>
      <c r="I51" s="67" t="s">
        <v>1854</v>
      </c>
      <c r="J51" s="67" t="s">
        <v>1877</v>
      </c>
      <c r="K51" s="67" t="s">
        <v>1853</v>
      </c>
    </row>
    <row r="52" spans="1:11" s="67" customFormat="1"/>
    <row r="53" spans="1:11" s="67" customFormat="1">
      <c r="A53" s="67" t="s">
        <v>1960</v>
      </c>
      <c r="B53" s="67" t="s">
        <v>1961</v>
      </c>
      <c r="C53" s="67" t="s">
        <v>1962</v>
      </c>
      <c r="D53" s="67" t="s">
        <v>1883</v>
      </c>
      <c r="E53" s="67" t="s">
        <v>407</v>
      </c>
    </row>
    <row r="54" spans="1:11" s="67" customFormat="1">
      <c r="A54" s="67" t="s">
        <v>1963</v>
      </c>
      <c r="B54" s="67" t="s">
        <v>1964</v>
      </c>
      <c r="C54" s="67" t="s">
        <v>1965</v>
      </c>
      <c r="D54" s="67" t="s">
        <v>1883</v>
      </c>
      <c r="E54" s="67" t="s">
        <v>407</v>
      </c>
    </row>
    <row r="55" spans="1:11" s="67" customFormat="1">
      <c r="A55" s="67" t="s">
        <v>1966</v>
      </c>
      <c r="B55" s="67" t="s">
        <v>1967</v>
      </c>
      <c r="C55" s="67" t="s">
        <v>1968</v>
      </c>
      <c r="D55" s="67" t="s">
        <v>1883</v>
      </c>
      <c r="E55" s="67" t="s">
        <v>407</v>
      </c>
    </row>
    <row r="56" spans="1:11" s="67" customFormat="1">
      <c r="A56" s="67" t="s">
        <v>1969</v>
      </c>
      <c r="B56" s="67" t="s">
        <v>1970</v>
      </c>
      <c r="C56" s="67" t="s">
        <v>1971</v>
      </c>
      <c r="D56" s="67" t="s">
        <v>1883</v>
      </c>
      <c r="E56" s="67" t="s">
        <v>407</v>
      </c>
      <c r="F56" t="s">
        <v>1705</v>
      </c>
    </row>
    <row r="57" spans="1:11" s="67" customFormat="1">
      <c r="A57" s="67" t="s">
        <v>1972</v>
      </c>
      <c r="B57" s="67" t="s">
        <v>1973</v>
      </c>
      <c r="C57" s="67" t="s">
        <v>1974</v>
      </c>
      <c r="D57" s="67" t="s">
        <v>1883</v>
      </c>
      <c r="E57" s="67" t="s">
        <v>407</v>
      </c>
      <c r="F57" t="s">
        <v>1651</v>
      </c>
    </row>
    <row r="58" spans="1:11" s="67" customFormat="1">
      <c r="A58" s="67" t="s">
        <v>1975</v>
      </c>
      <c r="B58" s="67" t="s">
        <v>1976</v>
      </c>
      <c r="C58" s="67" t="s">
        <v>1977</v>
      </c>
      <c r="D58" s="67" t="s">
        <v>1883</v>
      </c>
      <c r="E58" s="67" t="s">
        <v>407</v>
      </c>
      <c r="F58" t="s">
        <v>1652</v>
      </c>
    </row>
    <row r="59" spans="1:11" s="67" customFormat="1">
      <c r="A59" s="67" t="s">
        <v>1978</v>
      </c>
      <c r="B59" s="67" t="s">
        <v>1979</v>
      </c>
      <c r="C59" s="67" t="s">
        <v>1980</v>
      </c>
      <c r="D59" s="67" t="s">
        <v>1883</v>
      </c>
      <c r="E59" s="67" t="s">
        <v>407</v>
      </c>
      <c r="F59" t="s">
        <v>1653</v>
      </c>
    </row>
    <row r="60" spans="1:11" s="67" customFormat="1">
      <c r="A60" s="67" t="s">
        <v>1981</v>
      </c>
      <c r="B60" s="67" t="s">
        <v>1982</v>
      </c>
      <c r="C60" s="67" t="s">
        <v>1983</v>
      </c>
      <c r="D60" s="67" t="s">
        <v>1908</v>
      </c>
      <c r="E60" s="67" t="s">
        <v>407</v>
      </c>
      <c r="F60" t="s">
        <v>1654</v>
      </c>
    </row>
    <row r="61" spans="1:11" s="67" customFormat="1">
      <c r="F61" t="s">
        <v>1706</v>
      </c>
    </row>
    <row r="62" spans="1:11" s="67" customFormat="1">
      <c r="F62" t="s">
        <v>1655</v>
      </c>
    </row>
    <row r="63" spans="1:11" s="67" customFormat="1">
      <c r="F63" t="s">
        <v>1707</v>
      </c>
    </row>
    <row r="64" spans="1:11" s="67" customFormat="1">
      <c r="A64" s="69" t="s">
        <v>1838</v>
      </c>
    </row>
    <row r="65" spans="1:11" s="67" customFormat="1"/>
    <row r="66" spans="1:11" s="67" customFormat="1">
      <c r="A66" s="67" t="s">
        <v>1918</v>
      </c>
      <c r="B66" s="67" t="s">
        <v>1919</v>
      </c>
      <c r="C66" s="67" t="s">
        <v>1851</v>
      </c>
      <c r="D66" s="67" t="s">
        <v>1876</v>
      </c>
      <c r="E66" s="67" t="s">
        <v>1920</v>
      </c>
      <c r="G66" s="67" t="s">
        <v>1921</v>
      </c>
      <c r="H66" s="67" t="s">
        <v>1922</v>
      </c>
      <c r="I66" s="67" t="s">
        <v>1854</v>
      </c>
      <c r="J66" s="67" t="s">
        <v>1877</v>
      </c>
      <c r="K66" s="67" t="s">
        <v>1853</v>
      </c>
    </row>
    <row r="67" spans="1:11" s="67" customFormat="1"/>
    <row r="68" spans="1:11" s="67" customFormat="1">
      <c r="A68" s="67" t="s">
        <v>1984</v>
      </c>
      <c r="B68" s="67" t="s">
        <v>1985</v>
      </c>
      <c r="C68" s="67" t="s">
        <v>1986</v>
      </c>
      <c r="D68" s="67" t="s">
        <v>1883</v>
      </c>
      <c r="E68" s="67" t="s">
        <v>407</v>
      </c>
      <c r="F68" t="s">
        <v>2234</v>
      </c>
    </row>
    <row r="69" spans="1:11" s="67" customFormat="1">
      <c r="A69" s="67" t="s">
        <v>1987</v>
      </c>
      <c r="B69" s="67" t="s">
        <v>1988</v>
      </c>
      <c r="C69" s="67" t="s">
        <v>1989</v>
      </c>
      <c r="D69" s="67" t="s">
        <v>1883</v>
      </c>
      <c r="E69" s="67" t="s">
        <v>407</v>
      </c>
      <c r="F69" s="67" t="s">
        <v>2233</v>
      </c>
    </row>
    <row r="70" spans="1:11" s="67" customFormat="1">
      <c r="A70" s="67" t="s">
        <v>1990</v>
      </c>
      <c r="B70" s="67" t="s">
        <v>1991</v>
      </c>
      <c r="C70" s="67" t="s">
        <v>1992</v>
      </c>
      <c r="D70" s="67" t="s">
        <v>1883</v>
      </c>
      <c r="E70" s="67" t="s">
        <v>407</v>
      </c>
    </row>
    <row r="71" spans="1:11" s="67" customFormat="1">
      <c r="A71" s="67" t="s">
        <v>1993</v>
      </c>
      <c r="B71" s="67" t="s">
        <v>1994</v>
      </c>
      <c r="C71" s="67" t="s">
        <v>1995</v>
      </c>
      <c r="D71" s="67" t="s">
        <v>1883</v>
      </c>
      <c r="E71" s="67" t="s">
        <v>407</v>
      </c>
    </row>
    <row r="72" spans="1:11" s="67" customFormat="1">
      <c r="A72" s="67" t="s">
        <v>1996</v>
      </c>
      <c r="B72" s="67" t="s">
        <v>1997</v>
      </c>
      <c r="C72" s="67" t="s">
        <v>1998</v>
      </c>
      <c r="D72" s="67" t="s">
        <v>1883</v>
      </c>
      <c r="E72" s="67" t="s">
        <v>407</v>
      </c>
    </row>
    <row r="73" spans="1:11" s="67" customFormat="1">
      <c r="A73" s="67" t="s">
        <v>1999</v>
      </c>
      <c r="B73" s="67" t="s">
        <v>2000</v>
      </c>
      <c r="C73" s="67" t="s">
        <v>2001</v>
      </c>
      <c r="D73" s="67" t="s">
        <v>1883</v>
      </c>
      <c r="E73" s="67" t="s">
        <v>407</v>
      </c>
    </row>
    <row r="74" spans="1:11" s="67" customFormat="1">
      <c r="A74" s="67" t="s">
        <v>2002</v>
      </c>
      <c r="B74" s="67" t="s">
        <v>2003</v>
      </c>
      <c r="C74" s="67" t="s">
        <v>2004</v>
      </c>
      <c r="D74" s="67" t="s">
        <v>1883</v>
      </c>
      <c r="E74" s="67" t="s">
        <v>407</v>
      </c>
    </row>
    <row r="75" spans="1:11" s="67" customFormat="1">
      <c r="A75" s="67" t="s">
        <v>2005</v>
      </c>
      <c r="B75" s="67" t="s">
        <v>2006</v>
      </c>
      <c r="C75" s="67" t="s">
        <v>2007</v>
      </c>
      <c r="D75" s="67" t="s">
        <v>1883</v>
      </c>
      <c r="E75" s="67" t="s">
        <v>407</v>
      </c>
    </row>
    <row r="76" spans="1:11" s="67" customFormat="1">
      <c r="A76" s="67" t="s">
        <v>2008</v>
      </c>
      <c r="B76" s="67" t="s">
        <v>2009</v>
      </c>
      <c r="C76" s="67" t="s">
        <v>2010</v>
      </c>
      <c r="D76" s="67" t="s">
        <v>1883</v>
      </c>
      <c r="E76" s="67" t="s">
        <v>1716</v>
      </c>
    </row>
    <row r="77" spans="1:11" s="67" customFormat="1">
      <c r="A77" s="67" t="s">
        <v>2011</v>
      </c>
      <c r="B77" s="67" t="s">
        <v>2012</v>
      </c>
      <c r="C77" s="67" t="s">
        <v>2013</v>
      </c>
      <c r="D77" s="67" t="s">
        <v>1883</v>
      </c>
      <c r="E77" s="67" t="s">
        <v>1926</v>
      </c>
    </row>
    <row r="78" spans="1:11" s="67" customFormat="1">
      <c r="A78" s="67" t="s">
        <v>2014</v>
      </c>
      <c r="B78" s="67" t="s">
        <v>2015</v>
      </c>
      <c r="C78" s="67" t="s">
        <v>2016</v>
      </c>
      <c r="D78" s="67" t="s">
        <v>1883</v>
      </c>
      <c r="E78" s="67" t="s">
        <v>1926</v>
      </c>
    </row>
    <row r="79" spans="1:11" s="67" customFormat="1">
      <c r="A79" s="67" t="s">
        <v>2017</v>
      </c>
      <c r="B79" s="67" t="s">
        <v>2018</v>
      </c>
      <c r="C79" s="67" t="s">
        <v>2019</v>
      </c>
      <c r="D79" s="67" t="s">
        <v>1883</v>
      </c>
      <c r="E79" s="67" t="s">
        <v>1926</v>
      </c>
    </row>
    <row r="80" spans="1:11" s="67" customFormat="1">
      <c r="A80" s="67" t="s">
        <v>2020</v>
      </c>
      <c r="B80" s="67" t="s">
        <v>2021</v>
      </c>
      <c r="C80" s="67" t="s">
        <v>2022</v>
      </c>
      <c r="D80" s="67" t="s">
        <v>1883</v>
      </c>
      <c r="E80" s="67" t="s">
        <v>1926</v>
      </c>
    </row>
    <row r="81" spans="1:11" s="67" customFormat="1">
      <c r="A81" s="67" t="s">
        <v>2023</v>
      </c>
      <c r="B81" s="67" t="s">
        <v>2024</v>
      </c>
      <c r="C81" s="67" t="s">
        <v>2025</v>
      </c>
      <c r="D81" s="67" t="s">
        <v>1883</v>
      </c>
      <c r="E81" s="67" t="s">
        <v>1926</v>
      </c>
    </row>
    <row r="82" spans="1:11" s="67" customFormat="1"/>
    <row r="83" spans="1:11" s="67" customFormat="1"/>
    <row r="84" spans="1:11" s="67" customFormat="1"/>
    <row r="85" spans="1:11" s="67" customFormat="1">
      <c r="A85" s="69" t="s">
        <v>1839</v>
      </c>
    </row>
    <row r="86" spans="1:11" s="67" customFormat="1"/>
    <row r="87" spans="1:11" s="67" customFormat="1">
      <c r="A87" s="67" t="s">
        <v>1918</v>
      </c>
      <c r="B87" s="67" t="s">
        <v>1919</v>
      </c>
      <c r="C87" s="67" t="s">
        <v>1851</v>
      </c>
      <c r="D87" s="67" t="s">
        <v>1876</v>
      </c>
      <c r="E87" s="67" t="s">
        <v>1920</v>
      </c>
      <c r="G87" s="67" t="s">
        <v>1921</v>
      </c>
      <c r="H87" s="67" t="s">
        <v>1922</v>
      </c>
      <c r="I87" s="67" t="s">
        <v>1854</v>
      </c>
      <c r="J87" s="67" t="s">
        <v>1877</v>
      </c>
      <c r="K87" s="67" t="s">
        <v>1853</v>
      </c>
    </row>
    <row r="88" spans="1:11" s="67" customFormat="1"/>
    <row r="89" spans="1:11" s="67" customFormat="1">
      <c r="A89" s="67" t="s">
        <v>2026</v>
      </c>
      <c r="B89" s="67" t="s">
        <v>2027</v>
      </c>
      <c r="C89" s="67" t="s">
        <v>2028</v>
      </c>
      <c r="D89" s="67" t="s">
        <v>1883</v>
      </c>
      <c r="E89" s="67" t="s">
        <v>1926</v>
      </c>
    </row>
    <row r="90" spans="1:11" s="67" customFormat="1">
      <c r="A90" s="67" t="s">
        <v>2029</v>
      </c>
      <c r="B90" s="67" t="s">
        <v>2030</v>
      </c>
      <c r="C90" s="67" t="s">
        <v>2031</v>
      </c>
      <c r="D90" s="67" t="s">
        <v>1883</v>
      </c>
      <c r="E90" s="67" t="s">
        <v>1926</v>
      </c>
    </row>
    <row r="91" spans="1:11" s="67" customFormat="1">
      <c r="A91" s="67" t="s">
        <v>2032</v>
      </c>
      <c r="B91" s="67" t="s">
        <v>2033</v>
      </c>
      <c r="C91" s="67" t="s">
        <v>2034</v>
      </c>
      <c r="D91" s="67" t="s">
        <v>1883</v>
      </c>
      <c r="E91" s="67" t="s">
        <v>1926</v>
      </c>
    </row>
    <row r="92" spans="1:11" s="67" customFormat="1">
      <c r="A92" s="67" t="s">
        <v>2035</v>
      </c>
      <c r="B92" s="67" t="s">
        <v>2036</v>
      </c>
      <c r="C92" s="67" t="s">
        <v>2037</v>
      </c>
      <c r="D92" s="67" t="s">
        <v>1883</v>
      </c>
      <c r="E92" s="67" t="s">
        <v>1926</v>
      </c>
    </row>
    <row r="93" spans="1:11" s="67" customFormat="1">
      <c r="A93" s="67" t="s">
        <v>2038</v>
      </c>
      <c r="B93" s="67" t="s">
        <v>2039</v>
      </c>
      <c r="C93" s="67" t="s">
        <v>2040</v>
      </c>
      <c r="D93" s="67" t="s">
        <v>1908</v>
      </c>
      <c r="E93" s="67" t="s">
        <v>1926</v>
      </c>
    </row>
    <row r="94" spans="1:11" s="67" customFormat="1">
      <c r="A94" s="67" t="s">
        <v>2041</v>
      </c>
      <c r="B94" s="67" t="s">
        <v>2042</v>
      </c>
      <c r="C94" s="67" t="s">
        <v>2043</v>
      </c>
      <c r="D94" s="67" t="s">
        <v>1883</v>
      </c>
      <c r="E94" s="67" t="s">
        <v>1926</v>
      </c>
    </row>
    <row r="95" spans="1:11" s="67" customFormat="1"/>
    <row r="96" spans="1:11" s="67" customFormat="1"/>
    <row r="97" spans="1:11" s="67" customFormat="1"/>
    <row r="98" spans="1:11" s="67" customFormat="1">
      <c r="A98" s="69" t="s">
        <v>1840</v>
      </c>
    </row>
    <row r="99" spans="1:11" s="67" customFormat="1"/>
    <row r="100" spans="1:11" s="67" customFormat="1">
      <c r="A100" s="67" t="s">
        <v>1918</v>
      </c>
      <c r="B100" s="67" t="s">
        <v>1919</v>
      </c>
      <c r="C100" s="67" t="s">
        <v>1851</v>
      </c>
      <c r="D100" s="67" t="s">
        <v>1876</v>
      </c>
      <c r="E100" s="67" t="s">
        <v>1920</v>
      </c>
      <c r="G100" s="67" t="s">
        <v>1921</v>
      </c>
      <c r="H100" s="67" t="s">
        <v>1922</v>
      </c>
      <c r="I100" s="67" t="s">
        <v>1854</v>
      </c>
      <c r="J100" s="67" t="s">
        <v>1877</v>
      </c>
      <c r="K100" s="67" t="s">
        <v>1853</v>
      </c>
    </row>
    <row r="101" spans="1:11" s="67" customFormat="1"/>
    <row r="102" spans="1:11" s="67" customFormat="1">
      <c r="A102" s="67" t="s">
        <v>2044</v>
      </c>
      <c r="B102" s="67" t="s">
        <v>2045</v>
      </c>
      <c r="C102" s="67" t="s">
        <v>2046</v>
      </c>
      <c r="D102" s="67" t="s">
        <v>1883</v>
      </c>
      <c r="E102" s="67" t="s">
        <v>1926</v>
      </c>
    </row>
    <row r="103" spans="1:11" s="67" customFormat="1">
      <c r="A103" s="67" t="s">
        <v>2047</v>
      </c>
      <c r="B103" s="67" t="s">
        <v>2048</v>
      </c>
      <c r="C103" s="67" t="s">
        <v>2049</v>
      </c>
      <c r="D103" s="67" t="s">
        <v>1883</v>
      </c>
      <c r="E103" s="67" t="s">
        <v>1926</v>
      </c>
    </row>
    <row r="104" spans="1:11" s="67" customFormat="1">
      <c r="A104" s="67" t="s">
        <v>2050</v>
      </c>
      <c r="B104" s="67" t="s">
        <v>2051</v>
      </c>
      <c r="C104" s="67" t="s">
        <v>2052</v>
      </c>
      <c r="D104" s="67" t="s">
        <v>1883</v>
      </c>
      <c r="E104" s="67" t="s">
        <v>1926</v>
      </c>
    </row>
    <row r="105" spans="1:11" s="67" customFormat="1">
      <c r="A105" s="67" t="s">
        <v>2053</v>
      </c>
      <c r="B105" s="67" t="s">
        <v>2054</v>
      </c>
      <c r="C105" s="67" t="s">
        <v>2055</v>
      </c>
      <c r="D105" s="67" t="s">
        <v>1883</v>
      </c>
      <c r="E105" s="67" t="s">
        <v>1926</v>
      </c>
    </row>
    <row r="106" spans="1:11" s="67" customFormat="1">
      <c r="A106" s="67" t="s">
        <v>2056</v>
      </c>
      <c r="B106" s="67" t="s">
        <v>2057</v>
      </c>
      <c r="C106" s="67" t="s">
        <v>2058</v>
      </c>
      <c r="D106" s="67" t="s">
        <v>1883</v>
      </c>
      <c r="E106" s="67" t="s">
        <v>1926</v>
      </c>
    </row>
    <row r="107" spans="1:11" s="67" customFormat="1">
      <c r="A107" s="67" t="s">
        <v>2059</v>
      </c>
      <c r="B107" s="67" t="s">
        <v>2060</v>
      </c>
      <c r="C107" s="67" t="s">
        <v>2061</v>
      </c>
      <c r="D107" s="67" t="s">
        <v>1883</v>
      </c>
      <c r="E107" s="67" t="s">
        <v>1926</v>
      </c>
    </row>
    <row r="108" spans="1:11" s="67" customFormat="1">
      <c r="A108" s="67" t="s">
        <v>2062</v>
      </c>
      <c r="B108" s="67" t="s">
        <v>2063</v>
      </c>
      <c r="C108" s="67" t="s">
        <v>2064</v>
      </c>
      <c r="D108" s="67" t="s">
        <v>1883</v>
      </c>
      <c r="E108" s="67" t="s">
        <v>1926</v>
      </c>
    </row>
    <row r="109" spans="1:11" s="67" customFormat="1">
      <c r="A109" s="67" t="s">
        <v>2065</v>
      </c>
      <c r="B109" s="67" t="s">
        <v>2066</v>
      </c>
      <c r="C109" s="67" t="s">
        <v>2067</v>
      </c>
      <c r="D109" s="67" t="s">
        <v>1883</v>
      </c>
      <c r="E109" s="67" t="s">
        <v>1926</v>
      </c>
    </row>
    <row r="110" spans="1:11" s="67" customFormat="1"/>
    <row r="111" spans="1:11" s="67" customFormat="1"/>
    <row r="112" spans="1:11" s="67" customFormat="1"/>
    <row r="113" spans="1:11" s="67" customFormat="1">
      <c r="A113" s="69" t="s">
        <v>1841</v>
      </c>
    </row>
    <row r="114" spans="1:11" s="67" customFormat="1"/>
    <row r="115" spans="1:11" s="67" customFormat="1">
      <c r="A115" s="67" t="s">
        <v>1918</v>
      </c>
      <c r="B115" s="67" t="s">
        <v>1919</v>
      </c>
      <c r="C115" s="67" t="s">
        <v>1851</v>
      </c>
      <c r="D115" s="67" t="s">
        <v>1876</v>
      </c>
      <c r="E115" s="67" t="s">
        <v>1920</v>
      </c>
      <c r="G115" s="67" t="s">
        <v>1921</v>
      </c>
      <c r="H115" s="67" t="s">
        <v>1922</v>
      </c>
      <c r="I115" s="67" t="s">
        <v>1854</v>
      </c>
      <c r="J115" s="67" t="s">
        <v>1877</v>
      </c>
      <c r="K115" s="67" t="s">
        <v>1853</v>
      </c>
    </row>
    <row r="116" spans="1:11" s="67" customFormat="1"/>
    <row r="117" spans="1:11" s="67" customFormat="1">
      <c r="A117" s="67" t="s">
        <v>2068</v>
      </c>
      <c r="B117" s="67" t="s">
        <v>2069</v>
      </c>
      <c r="C117" s="67" t="s">
        <v>2070</v>
      </c>
      <c r="D117" s="67" t="s">
        <v>1883</v>
      </c>
      <c r="E117" s="67" t="s">
        <v>1926</v>
      </c>
    </row>
    <row r="118" spans="1:11" s="67" customFormat="1">
      <c r="A118" s="67" t="s">
        <v>2071</v>
      </c>
      <c r="B118" s="67" t="s">
        <v>2072</v>
      </c>
      <c r="C118" s="67" t="s">
        <v>2073</v>
      </c>
      <c r="D118" s="67" t="s">
        <v>1883</v>
      </c>
      <c r="E118" s="67" t="s">
        <v>1926</v>
      </c>
    </row>
    <row r="119" spans="1:11" s="67" customFormat="1">
      <c r="A119" s="67" t="s">
        <v>2074</v>
      </c>
      <c r="B119" s="67" t="s">
        <v>2075</v>
      </c>
      <c r="C119" s="67" t="s">
        <v>2076</v>
      </c>
      <c r="D119" s="67" t="s">
        <v>1883</v>
      </c>
      <c r="E119" s="67" t="s">
        <v>1926</v>
      </c>
    </row>
    <row r="120" spans="1:11" s="67" customFormat="1">
      <c r="A120" s="67" t="s">
        <v>2077</v>
      </c>
      <c r="B120" s="67" t="s">
        <v>2078</v>
      </c>
      <c r="C120" s="67" t="s">
        <v>2079</v>
      </c>
      <c r="D120" s="67" t="s">
        <v>1883</v>
      </c>
      <c r="E120" s="67" t="s">
        <v>1926</v>
      </c>
    </row>
    <row r="121" spans="1:11" s="67" customFormat="1">
      <c r="A121" s="67" t="s">
        <v>2080</v>
      </c>
      <c r="B121" s="67" t="s">
        <v>2081</v>
      </c>
      <c r="C121" s="67" t="s">
        <v>2082</v>
      </c>
      <c r="D121" s="67" t="s">
        <v>1883</v>
      </c>
      <c r="E121" s="67" t="s">
        <v>1926</v>
      </c>
    </row>
    <row r="122" spans="1:11" s="67" customFormat="1">
      <c r="A122" s="67" t="s">
        <v>2083</v>
      </c>
      <c r="B122" s="67" t="s">
        <v>2084</v>
      </c>
      <c r="C122" s="67" t="s">
        <v>2085</v>
      </c>
      <c r="D122" s="67" t="s">
        <v>1883</v>
      </c>
      <c r="E122" s="67" t="s">
        <v>1926</v>
      </c>
    </row>
    <row r="123" spans="1:11" s="67" customFormat="1">
      <c r="A123" s="67" t="s">
        <v>2086</v>
      </c>
      <c r="B123" s="67" t="s">
        <v>2087</v>
      </c>
      <c r="C123" s="67" t="s">
        <v>2088</v>
      </c>
      <c r="D123" s="67" t="s">
        <v>1883</v>
      </c>
      <c r="E123" s="67" t="s">
        <v>1926</v>
      </c>
    </row>
    <row r="124" spans="1:11" s="67" customFormat="1">
      <c r="A124" s="67" t="s">
        <v>2089</v>
      </c>
      <c r="B124" s="67" t="s">
        <v>2090</v>
      </c>
      <c r="C124" s="67" t="s">
        <v>2091</v>
      </c>
      <c r="D124" s="67" t="s">
        <v>1883</v>
      </c>
      <c r="E124" s="67" t="s">
        <v>1926</v>
      </c>
    </row>
    <row r="125" spans="1:11" s="67" customFormat="1">
      <c r="A125" s="67" t="s">
        <v>2092</v>
      </c>
      <c r="B125" s="67" t="s">
        <v>2093</v>
      </c>
      <c r="C125" s="67" t="s">
        <v>2094</v>
      </c>
      <c r="D125" s="67" t="s">
        <v>1908</v>
      </c>
      <c r="E125" s="67" t="s">
        <v>1926</v>
      </c>
    </row>
    <row r="126" spans="1:11" s="67" customFormat="1"/>
    <row r="127" spans="1:11" s="67" customFormat="1"/>
    <row r="128" spans="1:11" s="67" customFormat="1"/>
    <row r="129" spans="1:11" s="67" customFormat="1">
      <c r="A129" s="69" t="s">
        <v>1842</v>
      </c>
    </row>
    <row r="130" spans="1:11" s="67" customFormat="1"/>
    <row r="131" spans="1:11" s="67" customFormat="1">
      <c r="A131" s="67" t="s">
        <v>1918</v>
      </c>
      <c r="B131" s="67" t="s">
        <v>1919</v>
      </c>
      <c r="C131" s="67" t="s">
        <v>1851</v>
      </c>
      <c r="D131" s="67" t="s">
        <v>1876</v>
      </c>
      <c r="E131" s="67" t="s">
        <v>1920</v>
      </c>
      <c r="G131" s="67" t="s">
        <v>1921</v>
      </c>
      <c r="H131" s="67" t="s">
        <v>1922</v>
      </c>
      <c r="I131" s="67" t="s">
        <v>1854</v>
      </c>
      <c r="J131" s="67" t="s">
        <v>1877</v>
      </c>
      <c r="K131" s="67" t="s">
        <v>1853</v>
      </c>
    </row>
    <row r="132" spans="1:11" s="67" customFormat="1"/>
    <row r="133" spans="1:11" s="67" customFormat="1">
      <c r="A133" s="67" t="s">
        <v>2095</v>
      </c>
      <c r="B133" s="67" t="s">
        <v>2096</v>
      </c>
      <c r="C133" s="67" t="s">
        <v>2097</v>
      </c>
      <c r="D133" s="67" t="s">
        <v>1883</v>
      </c>
      <c r="E133" s="67" t="s">
        <v>1926</v>
      </c>
    </row>
    <row r="134" spans="1:11" s="67" customFormat="1">
      <c r="A134" s="67" t="s">
        <v>2098</v>
      </c>
      <c r="B134" s="67" t="s">
        <v>2099</v>
      </c>
      <c r="C134" s="67" t="s">
        <v>2100</v>
      </c>
      <c r="D134" s="67" t="s">
        <v>1883</v>
      </c>
      <c r="E134" s="67" t="s">
        <v>1926</v>
      </c>
    </row>
    <row r="135" spans="1:11" s="67" customFormat="1">
      <c r="A135" s="67" t="s">
        <v>2101</v>
      </c>
      <c r="B135" s="67" t="s">
        <v>2102</v>
      </c>
      <c r="C135" s="67" t="s">
        <v>2103</v>
      </c>
      <c r="D135" s="67" t="s">
        <v>1883</v>
      </c>
      <c r="E135" s="67" t="s">
        <v>1926</v>
      </c>
    </row>
    <row r="136" spans="1:11" s="67" customFormat="1">
      <c r="A136" s="67" t="s">
        <v>2104</v>
      </c>
      <c r="B136" s="67" t="s">
        <v>2105</v>
      </c>
      <c r="C136" s="67" t="s">
        <v>2106</v>
      </c>
      <c r="D136" s="67" t="s">
        <v>1883</v>
      </c>
      <c r="E136" s="67" t="s">
        <v>1926</v>
      </c>
    </row>
    <row r="137" spans="1:11" s="67" customFormat="1">
      <c r="A137" s="67" t="s">
        <v>2107</v>
      </c>
      <c r="B137" s="67" t="s">
        <v>2108</v>
      </c>
      <c r="C137" s="67" t="s">
        <v>2109</v>
      </c>
      <c r="D137" s="67" t="s">
        <v>1883</v>
      </c>
      <c r="E137" s="67" t="s">
        <v>1926</v>
      </c>
    </row>
    <row r="138" spans="1:11" s="67" customFormat="1">
      <c r="A138" s="67" t="s">
        <v>2110</v>
      </c>
      <c r="B138" s="67" t="s">
        <v>2111</v>
      </c>
      <c r="C138" s="67" t="s">
        <v>2112</v>
      </c>
      <c r="D138" s="67" t="s">
        <v>1883</v>
      </c>
      <c r="E138" s="67" t="s">
        <v>1926</v>
      </c>
    </row>
    <row r="139" spans="1:11" s="67" customFormat="1">
      <c r="A139" s="67" t="s">
        <v>2113</v>
      </c>
      <c r="B139" s="67" t="s">
        <v>2114</v>
      </c>
      <c r="C139" s="67" t="s">
        <v>2115</v>
      </c>
      <c r="D139" s="67" t="s">
        <v>1883</v>
      </c>
      <c r="E139" s="67" t="s">
        <v>1926</v>
      </c>
    </row>
    <row r="140" spans="1:11" s="67" customFormat="1">
      <c r="A140" s="67" t="s">
        <v>2116</v>
      </c>
      <c r="B140" s="67" t="s">
        <v>2117</v>
      </c>
      <c r="C140" s="67" t="s">
        <v>2118</v>
      </c>
      <c r="D140" s="67" t="s">
        <v>1883</v>
      </c>
      <c r="E140" s="67" t="s">
        <v>1926</v>
      </c>
    </row>
    <row r="141" spans="1:11" s="67" customFormat="1">
      <c r="A141" s="67" t="s">
        <v>2119</v>
      </c>
      <c r="B141" s="67" t="s">
        <v>2120</v>
      </c>
      <c r="C141" s="67" t="s">
        <v>2121</v>
      </c>
      <c r="D141" s="67" t="s">
        <v>1883</v>
      </c>
      <c r="E141" s="67" t="s">
        <v>1926</v>
      </c>
    </row>
    <row r="142" spans="1:11" s="67" customFormat="1">
      <c r="A142" s="67" t="s">
        <v>2122</v>
      </c>
      <c r="B142" s="67" t="s">
        <v>2123</v>
      </c>
      <c r="C142" s="67" t="s">
        <v>2124</v>
      </c>
      <c r="D142" s="67" t="s">
        <v>1908</v>
      </c>
      <c r="E142" s="67" t="s">
        <v>1926</v>
      </c>
    </row>
    <row r="143" spans="1:11" s="67" customFormat="1"/>
    <row r="144" spans="1:11" s="67" customFormat="1"/>
    <row r="145" spans="1:11" s="67" customFormat="1"/>
    <row r="146" spans="1:11" s="67" customFormat="1">
      <c r="A146" s="69" t="s">
        <v>1843</v>
      </c>
    </row>
    <row r="147" spans="1:11" s="67" customFormat="1"/>
    <row r="148" spans="1:11" s="67" customFormat="1">
      <c r="A148" s="67" t="s">
        <v>1918</v>
      </c>
      <c r="B148" s="67" t="s">
        <v>1919</v>
      </c>
      <c r="C148" s="67" t="s">
        <v>1851</v>
      </c>
      <c r="D148" s="67" t="s">
        <v>1876</v>
      </c>
      <c r="E148" s="67" t="s">
        <v>1920</v>
      </c>
      <c r="G148" s="67" t="s">
        <v>1921</v>
      </c>
      <c r="H148" s="67" t="s">
        <v>1922</v>
      </c>
      <c r="I148" s="67" t="s">
        <v>1854</v>
      </c>
      <c r="J148" s="67" t="s">
        <v>1877</v>
      </c>
      <c r="K148" s="67" t="s">
        <v>1853</v>
      </c>
    </row>
    <row r="149" spans="1:11" s="67" customFormat="1"/>
    <row r="150" spans="1:11" s="67" customFormat="1">
      <c r="A150" s="67" t="s">
        <v>2125</v>
      </c>
      <c r="B150" s="67" t="s">
        <v>2126</v>
      </c>
      <c r="C150" s="67" t="s">
        <v>2127</v>
      </c>
      <c r="D150" s="67" t="s">
        <v>1883</v>
      </c>
      <c r="E150" s="67" t="s">
        <v>1926</v>
      </c>
    </row>
    <row r="151" spans="1:11" s="67" customFormat="1">
      <c r="A151" s="67" t="s">
        <v>2128</v>
      </c>
      <c r="B151" s="67" t="s">
        <v>2129</v>
      </c>
      <c r="C151" s="67" t="s">
        <v>2130</v>
      </c>
      <c r="D151" s="67" t="s">
        <v>1883</v>
      </c>
      <c r="E151" s="67" t="s">
        <v>1926</v>
      </c>
    </row>
    <row r="152" spans="1:11" s="67" customFormat="1">
      <c r="A152" s="67" t="s">
        <v>2131</v>
      </c>
      <c r="B152" s="67" t="s">
        <v>2132</v>
      </c>
      <c r="C152" s="67" t="s">
        <v>2133</v>
      </c>
      <c r="D152" s="67" t="s">
        <v>1883</v>
      </c>
      <c r="E152" s="67" t="s">
        <v>1926</v>
      </c>
    </row>
    <row r="153" spans="1:11" s="67" customFormat="1">
      <c r="A153" s="67" t="s">
        <v>2134</v>
      </c>
      <c r="B153" s="67" t="s">
        <v>2135</v>
      </c>
      <c r="C153" s="67" t="s">
        <v>2136</v>
      </c>
      <c r="D153" s="67" t="s">
        <v>1883</v>
      </c>
      <c r="E153" s="67" t="s">
        <v>1926</v>
      </c>
    </row>
    <row r="154" spans="1:11" s="67" customFormat="1">
      <c r="A154" s="67" t="s">
        <v>2137</v>
      </c>
      <c r="B154" s="67" t="s">
        <v>2138</v>
      </c>
      <c r="C154" s="67" t="s">
        <v>2139</v>
      </c>
      <c r="D154" s="67" t="s">
        <v>1883</v>
      </c>
      <c r="E154" s="67" t="s">
        <v>1926</v>
      </c>
    </row>
    <row r="155" spans="1:11" s="67" customFormat="1">
      <c r="A155" s="67" t="s">
        <v>2140</v>
      </c>
      <c r="B155" s="67" t="s">
        <v>2141</v>
      </c>
      <c r="C155" s="67" t="s">
        <v>2142</v>
      </c>
      <c r="D155" s="67" t="s">
        <v>1908</v>
      </c>
      <c r="E155" s="67" t="s">
        <v>1926</v>
      </c>
    </row>
    <row r="156" spans="1:11" s="67" customFormat="1"/>
    <row r="157" spans="1:11" s="67" customFormat="1"/>
    <row r="158" spans="1:11" s="67" customFormat="1"/>
    <row r="159" spans="1:11" s="67" customFormat="1">
      <c r="A159" s="69" t="s">
        <v>1844</v>
      </c>
    </row>
    <row r="160" spans="1:11" s="67" customFormat="1"/>
    <row r="161" spans="1:11" s="67" customFormat="1">
      <c r="A161" s="67" t="s">
        <v>1918</v>
      </c>
      <c r="B161" s="67" t="s">
        <v>1919</v>
      </c>
      <c r="C161" s="67" t="s">
        <v>1851</v>
      </c>
      <c r="D161" s="67" t="s">
        <v>1876</v>
      </c>
      <c r="E161" s="67" t="s">
        <v>1920</v>
      </c>
      <c r="G161" s="67" t="s">
        <v>1921</v>
      </c>
      <c r="H161" s="67" t="s">
        <v>1922</v>
      </c>
      <c r="I161" s="67" t="s">
        <v>1854</v>
      </c>
      <c r="J161" s="67" t="s">
        <v>1877</v>
      </c>
      <c r="K161" s="67" t="s">
        <v>1853</v>
      </c>
    </row>
    <row r="162" spans="1:11" s="67" customFormat="1"/>
    <row r="163" spans="1:11" s="67" customFormat="1">
      <c r="A163" s="67" t="s">
        <v>2143</v>
      </c>
      <c r="B163" s="67" t="s">
        <v>2144</v>
      </c>
      <c r="C163" s="67" t="s">
        <v>2145</v>
      </c>
      <c r="D163" s="67" t="s">
        <v>1908</v>
      </c>
      <c r="E163" s="67" t="s">
        <v>1926</v>
      </c>
    </row>
    <row r="164" spans="1:11" s="67" customFormat="1">
      <c r="A164" s="67" t="s">
        <v>2146</v>
      </c>
      <c r="B164" s="67" t="s">
        <v>2147</v>
      </c>
      <c r="C164" s="67" t="s">
        <v>2148</v>
      </c>
      <c r="D164" s="67" t="s">
        <v>1908</v>
      </c>
      <c r="E164" s="67" t="s">
        <v>1926</v>
      </c>
    </row>
    <row r="165" spans="1:11" s="67" customFormat="1">
      <c r="A165" s="67" t="s">
        <v>2149</v>
      </c>
      <c r="B165" s="67" t="s">
        <v>2150</v>
      </c>
      <c r="C165" s="67" t="s">
        <v>2151</v>
      </c>
      <c r="D165" s="67" t="s">
        <v>1908</v>
      </c>
      <c r="E165" s="67" t="s">
        <v>1926</v>
      </c>
    </row>
    <row r="166" spans="1:11" s="67" customFormat="1">
      <c r="A166" s="67" t="s">
        <v>2152</v>
      </c>
      <c r="B166" s="67" t="s">
        <v>2153</v>
      </c>
      <c r="C166" s="67" t="s">
        <v>2154</v>
      </c>
      <c r="D166" s="67" t="s">
        <v>1908</v>
      </c>
      <c r="E166" s="67" t="s">
        <v>1926</v>
      </c>
    </row>
    <row r="167" spans="1:11" s="67" customFormat="1">
      <c r="A167" s="67" t="s">
        <v>2155</v>
      </c>
      <c r="B167" s="67" t="s">
        <v>2156</v>
      </c>
      <c r="C167" s="67" t="s">
        <v>2157</v>
      </c>
      <c r="D167" s="67" t="s">
        <v>1908</v>
      </c>
      <c r="E167" s="67" t="s">
        <v>1926</v>
      </c>
    </row>
    <row r="168" spans="1:11" s="67" customFormat="1">
      <c r="A168" s="67" t="s">
        <v>2158</v>
      </c>
      <c r="B168" s="67" t="s">
        <v>2159</v>
      </c>
      <c r="C168" s="67" t="s">
        <v>2160</v>
      </c>
      <c r="D168" s="67" t="s">
        <v>1908</v>
      </c>
      <c r="E168" s="67" t="s">
        <v>1926</v>
      </c>
    </row>
    <row r="169" spans="1:11" s="67" customFormat="1">
      <c r="A169" s="67" t="s">
        <v>2161</v>
      </c>
      <c r="B169" s="67" t="s">
        <v>2162</v>
      </c>
      <c r="C169" s="67" t="s">
        <v>2163</v>
      </c>
      <c r="D169" s="67" t="s">
        <v>1908</v>
      </c>
      <c r="E169" s="67" t="s">
        <v>1926</v>
      </c>
    </row>
    <row r="170" spans="1:11" s="67" customFormat="1">
      <c r="A170" s="67" t="s">
        <v>2164</v>
      </c>
      <c r="B170" s="67" t="s">
        <v>2165</v>
      </c>
      <c r="C170" s="67" t="s">
        <v>2166</v>
      </c>
      <c r="D170" s="67" t="s">
        <v>1908</v>
      </c>
      <c r="E170" s="67" t="s">
        <v>1926</v>
      </c>
    </row>
    <row r="171" spans="1:11" s="67" customFormat="1"/>
    <row r="172" spans="1:11" s="67" customFormat="1"/>
    <row r="173" spans="1:11" s="67" customFormat="1"/>
    <row r="174" spans="1:11" s="67" customFormat="1">
      <c r="A174" s="69" t="s">
        <v>1845</v>
      </c>
    </row>
    <row r="175" spans="1:11" s="67" customFormat="1"/>
    <row r="176" spans="1:11" s="67" customFormat="1">
      <c r="A176" s="67" t="s">
        <v>1918</v>
      </c>
      <c r="B176" s="67" t="s">
        <v>1919</v>
      </c>
      <c r="C176" s="67" t="s">
        <v>1851</v>
      </c>
      <c r="D176" s="67" t="s">
        <v>1876</v>
      </c>
      <c r="E176" s="67" t="s">
        <v>1920</v>
      </c>
      <c r="G176" s="67" t="s">
        <v>1921</v>
      </c>
      <c r="H176" s="67" t="s">
        <v>1922</v>
      </c>
      <c r="I176" s="67" t="s">
        <v>1854</v>
      </c>
      <c r="J176" s="67" t="s">
        <v>1877</v>
      </c>
      <c r="K176" s="67" t="s">
        <v>1853</v>
      </c>
    </row>
    <row r="177" spans="1:5" s="67" customFormat="1"/>
    <row r="178" spans="1:5" s="67" customFormat="1">
      <c r="A178" s="67" t="s">
        <v>2167</v>
      </c>
      <c r="B178" s="67" t="s">
        <v>2168</v>
      </c>
      <c r="C178" s="67" t="s">
        <v>2169</v>
      </c>
      <c r="D178" s="67" t="s">
        <v>1883</v>
      </c>
      <c r="E178" s="67" t="s">
        <v>1926</v>
      </c>
    </row>
    <row r="179" spans="1:5" s="67" customFormat="1">
      <c r="A179" s="67" t="s">
        <v>2170</v>
      </c>
      <c r="B179" s="67" t="s">
        <v>2171</v>
      </c>
      <c r="C179" s="67" t="s">
        <v>2172</v>
      </c>
      <c r="D179" s="67" t="s">
        <v>1883</v>
      </c>
      <c r="E179" s="67" t="s">
        <v>1926</v>
      </c>
    </row>
    <row r="180" spans="1:5" s="67" customFormat="1">
      <c r="A180" s="67" t="s">
        <v>2173</v>
      </c>
      <c r="B180" s="67" t="s">
        <v>2174</v>
      </c>
      <c r="C180" s="67" t="s">
        <v>2175</v>
      </c>
      <c r="D180" s="67" t="s">
        <v>1883</v>
      </c>
      <c r="E180" s="67" t="s">
        <v>1926</v>
      </c>
    </row>
    <row r="181" spans="1:5" s="67" customFormat="1">
      <c r="A181" s="67" t="s">
        <v>2176</v>
      </c>
      <c r="B181" s="67" t="s">
        <v>2177</v>
      </c>
      <c r="C181" s="67" t="s">
        <v>2178</v>
      </c>
      <c r="D181" s="67" t="s">
        <v>1908</v>
      </c>
      <c r="E181" s="67" t="s">
        <v>1926</v>
      </c>
    </row>
    <row r="182" spans="1:5" s="67" customFormat="1">
      <c r="A182" s="67" t="s">
        <v>2179</v>
      </c>
      <c r="B182" s="67" t="s">
        <v>2180</v>
      </c>
      <c r="C182" s="67" t="s">
        <v>2181</v>
      </c>
      <c r="D182" s="67" t="s">
        <v>1908</v>
      </c>
      <c r="E182" s="67" t="s">
        <v>1926</v>
      </c>
    </row>
    <row r="183" spans="1:5" s="67" customFormat="1">
      <c r="A183" s="67" t="s">
        <v>2182</v>
      </c>
      <c r="B183" s="67" t="s">
        <v>2183</v>
      </c>
      <c r="C183" s="67" t="s">
        <v>2184</v>
      </c>
      <c r="D183" s="67" t="s">
        <v>1908</v>
      </c>
      <c r="E183" s="67" t="s">
        <v>1926</v>
      </c>
    </row>
    <row r="184" spans="1:5" s="67" customFormat="1">
      <c r="A184" s="67" t="s">
        <v>2185</v>
      </c>
      <c r="B184" s="67" t="s">
        <v>2186</v>
      </c>
      <c r="C184" s="67" t="s">
        <v>2187</v>
      </c>
      <c r="D184" s="67" t="s">
        <v>1908</v>
      </c>
      <c r="E184" s="67" t="s">
        <v>1926</v>
      </c>
    </row>
    <row r="185" spans="1:5" s="67" customFormat="1">
      <c r="A185" s="67" t="s">
        <v>2188</v>
      </c>
      <c r="B185" s="67" t="s">
        <v>2189</v>
      </c>
      <c r="C185" s="67" t="s">
        <v>2190</v>
      </c>
      <c r="D185" s="67" t="s">
        <v>1883</v>
      </c>
      <c r="E185" s="67" t="s">
        <v>1926</v>
      </c>
    </row>
    <row r="186" spans="1:5" s="67" customFormat="1">
      <c r="A186" s="67" t="s">
        <v>2191</v>
      </c>
      <c r="B186" s="67" t="s">
        <v>2192</v>
      </c>
      <c r="C186" s="67" t="s">
        <v>2193</v>
      </c>
      <c r="D186" s="67" t="s">
        <v>1883</v>
      </c>
      <c r="E186" s="67" t="s">
        <v>1926</v>
      </c>
    </row>
    <row r="187" spans="1:5" s="67" customFormat="1">
      <c r="A187" s="67" t="s">
        <v>2194</v>
      </c>
      <c r="B187" s="67" t="s">
        <v>2195</v>
      </c>
      <c r="C187" s="67" t="s">
        <v>2196</v>
      </c>
      <c r="D187" s="67" t="s">
        <v>1908</v>
      </c>
      <c r="E187" s="67" t="s">
        <v>1926</v>
      </c>
    </row>
    <row r="188" spans="1:5" s="67" customFormat="1"/>
    <row r="189" spans="1:5" s="67" customFormat="1"/>
    <row r="190" spans="1:5" s="67" customFormat="1"/>
    <row r="191" spans="1:5" s="67" customFormat="1">
      <c r="A191" s="69" t="s">
        <v>1846</v>
      </c>
    </row>
    <row r="192" spans="1:5" s="67" customFormat="1"/>
    <row r="193" spans="1:11" s="67" customFormat="1">
      <c r="A193" s="67" t="s">
        <v>1918</v>
      </c>
      <c r="B193" s="67" t="s">
        <v>1919</v>
      </c>
      <c r="C193" s="67" t="s">
        <v>1851</v>
      </c>
      <c r="D193" s="67" t="s">
        <v>1876</v>
      </c>
      <c r="E193" s="67" t="s">
        <v>1920</v>
      </c>
      <c r="G193" s="67" t="s">
        <v>1921</v>
      </c>
      <c r="H193" s="67" t="s">
        <v>1922</v>
      </c>
      <c r="I193" s="67" t="s">
        <v>1854</v>
      </c>
      <c r="J193" s="67" t="s">
        <v>1877</v>
      </c>
      <c r="K193" s="67" t="s">
        <v>1853</v>
      </c>
    </row>
    <row r="194" spans="1:11" s="67" customFormat="1"/>
    <row r="195" spans="1:11" s="67" customFormat="1">
      <c r="A195" s="67" t="s">
        <v>2197</v>
      </c>
      <c r="B195" s="67" t="s">
        <v>2198</v>
      </c>
      <c r="C195" s="67" t="s">
        <v>2199</v>
      </c>
      <c r="D195" s="67" t="s">
        <v>1883</v>
      </c>
      <c r="E195" s="67" t="s">
        <v>1926</v>
      </c>
    </row>
    <row r="196" spans="1:11" s="67" customFormat="1">
      <c r="A196" s="67" t="s">
        <v>2200</v>
      </c>
      <c r="B196" s="67" t="s">
        <v>2201</v>
      </c>
      <c r="C196" s="67" t="s">
        <v>2202</v>
      </c>
      <c r="D196" s="67" t="s">
        <v>1883</v>
      </c>
      <c r="E196" s="67" t="s">
        <v>1926</v>
      </c>
    </row>
    <row r="197" spans="1:11" s="67" customFormat="1">
      <c r="A197" s="67" t="s">
        <v>2203</v>
      </c>
      <c r="B197" s="67" t="s">
        <v>2204</v>
      </c>
      <c r="C197" s="67" t="s">
        <v>2205</v>
      </c>
      <c r="D197" s="67" t="s">
        <v>1883</v>
      </c>
      <c r="E197" s="67" t="s">
        <v>1926</v>
      </c>
    </row>
    <row r="198" spans="1:11" s="67" customFormat="1">
      <c r="A198" s="67" t="s">
        <v>2206</v>
      </c>
      <c r="B198" s="67" t="s">
        <v>2207</v>
      </c>
      <c r="C198" s="67" t="s">
        <v>2208</v>
      </c>
      <c r="D198" s="67" t="s">
        <v>1883</v>
      </c>
      <c r="E198" s="67" t="s">
        <v>1926</v>
      </c>
    </row>
    <row r="199" spans="1:11" s="67" customFormat="1">
      <c r="A199" s="67" t="s">
        <v>2209</v>
      </c>
      <c r="B199" s="67" t="s">
        <v>2210</v>
      </c>
      <c r="C199" s="67" t="s">
        <v>2211</v>
      </c>
      <c r="D199" s="67" t="s">
        <v>1908</v>
      </c>
      <c r="E199" s="67" t="s">
        <v>1926</v>
      </c>
    </row>
    <row r="200" spans="1:11" s="67" customFormat="1">
      <c r="A200" s="67" t="s">
        <v>2212</v>
      </c>
      <c r="B200" s="67" t="s">
        <v>2213</v>
      </c>
      <c r="C200" s="67" t="s">
        <v>2214</v>
      </c>
      <c r="D200" s="67" t="s">
        <v>1908</v>
      </c>
      <c r="E200" s="67" t="s">
        <v>1926</v>
      </c>
    </row>
    <row r="201" spans="1:11" s="67" customFormat="1">
      <c r="A201" s="67" t="s">
        <v>2215</v>
      </c>
      <c r="B201" s="67" t="s">
        <v>2216</v>
      </c>
      <c r="C201" s="67" t="s">
        <v>2217</v>
      </c>
      <c r="D201" s="67" t="s">
        <v>1908</v>
      </c>
      <c r="E201" s="67" t="s">
        <v>1926</v>
      </c>
    </row>
    <row r="202" spans="1:11" s="67" customFormat="1">
      <c r="A202" s="67" t="s">
        <v>2218</v>
      </c>
      <c r="B202" s="67" t="s">
        <v>2219</v>
      </c>
      <c r="C202" s="67" t="s">
        <v>2220</v>
      </c>
      <c r="D202" s="67" t="s">
        <v>1883</v>
      </c>
      <c r="E202" s="67" t="s">
        <v>1926</v>
      </c>
    </row>
    <row r="203" spans="1:11" s="67" customFormat="1"/>
    <row r="204" spans="1:11" s="67" customFormat="1"/>
    <row r="205" spans="1:11" s="67" customFormat="1"/>
    <row r="206" spans="1:11" s="67" customFormat="1">
      <c r="A206" s="69" t="s">
        <v>1847</v>
      </c>
    </row>
    <row r="207" spans="1:11" s="67" customFormat="1"/>
    <row r="208" spans="1:11" s="67" customFormat="1">
      <c r="A208" s="67" t="s">
        <v>1918</v>
      </c>
      <c r="B208" s="67" t="s">
        <v>1919</v>
      </c>
      <c r="C208" s="67" t="s">
        <v>1851</v>
      </c>
      <c r="D208" s="67" t="s">
        <v>1876</v>
      </c>
      <c r="E208" s="67" t="s">
        <v>1920</v>
      </c>
      <c r="G208" s="67" t="s">
        <v>1921</v>
      </c>
      <c r="H208" s="67" t="s">
        <v>1922</v>
      </c>
      <c r="I208" s="67" t="s">
        <v>1854</v>
      </c>
      <c r="J208" s="67" t="s">
        <v>1877</v>
      </c>
      <c r="K208" s="67" t="s">
        <v>1853</v>
      </c>
    </row>
    <row r="209" spans="1:5" s="67" customFormat="1"/>
    <row r="210" spans="1:5" s="67" customFormat="1">
      <c r="A210" s="67" t="s">
        <v>2221</v>
      </c>
      <c r="B210" s="67" t="s">
        <v>2222</v>
      </c>
      <c r="C210" s="67" t="s">
        <v>2223</v>
      </c>
      <c r="D210" s="67" t="s">
        <v>1883</v>
      </c>
      <c r="E210" s="67" t="s">
        <v>1926</v>
      </c>
    </row>
    <row r="211" spans="1:5" s="67" customFormat="1">
      <c r="A211" s="67" t="s">
        <v>2224</v>
      </c>
      <c r="B211" s="67" t="s">
        <v>2225</v>
      </c>
      <c r="C211" s="67" t="s">
        <v>2226</v>
      </c>
      <c r="D211" s="67" t="s">
        <v>1883</v>
      </c>
      <c r="E211" s="67" t="s">
        <v>1926</v>
      </c>
    </row>
    <row r="212" spans="1:5" s="67" customFormat="1">
      <c r="A212" s="67" t="s">
        <v>2227</v>
      </c>
      <c r="B212" s="67" t="s">
        <v>2228</v>
      </c>
      <c r="C212" s="67" t="s">
        <v>2229</v>
      </c>
      <c r="D212" s="67" t="s">
        <v>1883</v>
      </c>
      <c r="E212" s="67" t="s">
        <v>1926</v>
      </c>
    </row>
    <row r="213" spans="1:5" s="67" customFormat="1">
      <c r="A213" s="67" t="s">
        <v>2230</v>
      </c>
      <c r="B213" s="67" t="s">
        <v>2231</v>
      </c>
      <c r="C213" s="67" t="s">
        <v>2232</v>
      </c>
      <c r="D213" s="67" t="s">
        <v>1908</v>
      </c>
      <c r="E213" s="67" t="s">
        <v>1926</v>
      </c>
    </row>
    <row r="214" spans="1:5" s="67" customFormat="1">
      <c r="A214" s="69"/>
    </row>
    <row r="215" spans="1:5" s="67" customFormat="1">
      <c r="A215" s="69"/>
    </row>
    <row r="216" spans="1:5" s="67" customFormat="1">
      <c r="A216" s="69"/>
    </row>
    <row r="217" spans="1:5" s="67" customFormat="1">
      <c r="A217" s="6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8671875" defaultRowHeight="19.2" customHeight="1"/>
  <cols>
    <col min="2" max="2" width="21.33203125" bestFit="1" customWidth="1"/>
    <col min="3" max="3" width="29.88671875" bestFit="1" customWidth="1"/>
    <col min="9" max="9" width="38.33203125" hidden="1" customWidth="1"/>
    <col min="10" max="10" width="19.109375" hidden="1" customWidth="1"/>
    <col min="11" max="11" width="62.33203125" hidden="1" customWidth="1"/>
  </cols>
  <sheetData>
    <row r="1" spans="1:13" ht="19.2" customHeight="1">
      <c r="A1" s="1" t="s">
        <v>0</v>
      </c>
      <c r="B1" s="1" t="s">
        <v>1</v>
      </c>
      <c r="C1" s="1" t="s">
        <v>2</v>
      </c>
      <c r="D1" s="1" t="s">
        <v>3</v>
      </c>
      <c r="E1" s="1" t="s">
        <v>4</v>
      </c>
      <c r="F1" s="1" t="s">
        <v>5</v>
      </c>
      <c r="G1" s="3" t="s">
        <v>402</v>
      </c>
      <c r="H1" s="3" t="s">
        <v>403</v>
      </c>
      <c r="I1" s="3" t="s">
        <v>366</v>
      </c>
      <c r="J1" s="3" t="s">
        <v>356</v>
      </c>
      <c r="K1" s="3" t="s">
        <v>406</v>
      </c>
      <c r="L1" s="3" t="s">
        <v>848</v>
      </c>
    </row>
    <row r="2" spans="1:13" ht="19.2" customHeight="1">
      <c r="A2" t="s">
        <v>6</v>
      </c>
      <c r="B2" t="s">
        <v>119</v>
      </c>
      <c r="C2" t="s">
        <v>232</v>
      </c>
      <c r="D2" t="s">
        <v>23</v>
      </c>
      <c r="E2" t="s">
        <v>345</v>
      </c>
      <c r="F2" t="s">
        <v>352</v>
      </c>
      <c r="G2" t="s">
        <v>407</v>
      </c>
      <c r="H2" t="s">
        <v>404</v>
      </c>
      <c r="I2" t="s">
        <v>357</v>
      </c>
      <c r="J2" s="2" t="s">
        <v>355</v>
      </c>
      <c r="K2" t="s">
        <v>405</v>
      </c>
      <c r="M2" t="str">
        <f>VLOOKUP(B2,'Unit Test'!A:J,10,FALSE)</f>
        <v>codex</v>
      </c>
    </row>
    <row r="3" spans="1:13" ht="19.2" customHeight="1">
      <c r="A3" t="s">
        <v>7</v>
      </c>
      <c r="B3" t="s">
        <v>120</v>
      </c>
      <c r="C3" t="s">
        <v>233</v>
      </c>
      <c r="D3" t="s">
        <v>19</v>
      </c>
      <c r="E3" t="s">
        <v>345</v>
      </c>
      <c r="F3" t="s">
        <v>352</v>
      </c>
      <c r="G3" t="s">
        <v>407</v>
      </c>
      <c r="H3" t="s">
        <v>404</v>
      </c>
      <c r="I3" t="s">
        <v>357</v>
      </c>
      <c r="J3" s="2" t="s">
        <v>355</v>
      </c>
      <c r="K3" t="s">
        <v>405</v>
      </c>
      <c r="M3" t="str">
        <f>VLOOKUP(B3,'Unit Test'!A:J,10,FALSE)</f>
        <v>codex</v>
      </c>
    </row>
    <row r="4" spans="1:13" ht="19.2" customHeight="1">
      <c r="A4" t="s">
        <v>8</v>
      </c>
      <c r="B4" t="s">
        <v>121</v>
      </c>
      <c r="C4" t="s">
        <v>234</v>
      </c>
      <c r="D4" t="s">
        <v>17</v>
      </c>
      <c r="E4" t="s">
        <v>345</v>
      </c>
      <c r="F4" t="s">
        <v>352</v>
      </c>
      <c r="G4" t="s">
        <v>407</v>
      </c>
      <c r="H4" t="s">
        <v>404</v>
      </c>
      <c r="I4" t="s">
        <v>357</v>
      </c>
      <c r="J4" s="2" t="s">
        <v>355</v>
      </c>
      <c r="K4" t="s">
        <v>405</v>
      </c>
      <c r="M4" t="str">
        <f>VLOOKUP(B4,'Unit Test'!A:J,10,FALSE)</f>
        <v>codex</v>
      </c>
    </row>
    <row r="5" spans="1:13" ht="19.2"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2" customHeight="1">
      <c r="A6" t="s">
        <v>10</v>
      </c>
      <c r="B6" t="s">
        <v>123</v>
      </c>
      <c r="C6" t="s">
        <v>236</v>
      </c>
      <c r="D6" t="s">
        <v>29</v>
      </c>
      <c r="E6" t="s">
        <v>345</v>
      </c>
      <c r="F6" t="s">
        <v>352</v>
      </c>
      <c r="G6" t="s">
        <v>407</v>
      </c>
      <c r="H6" t="s">
        <v>404</v>
      </c>
      <c r="I6" t="s">
        <v>371</v>
      </c>
      <c r="J6" s="2" t="s">
        <v>370</v>
      </c>
      <c r="K6" t="s">
        <v>408</v>
      </c>
      <c r="M6" t="str">
        <f>VLOOKUP(B6,'Unit Test'!A:J,10,FALSE)</f>
        <v>codex</v>
      </c>
    </row>
    <row r="7" spans="1:13" ht="19.2" customHeight="1">
      <c r="A7" t="s">
        <v>11</v>
      </c>
      <c r="B7" t="s">
        <v>124</v>
      </c>
      <c r="C7" t="s">
        <v>237</v>
      </c>
      <c r="D7" t="s">
        <v>21</v>
      </c>
      <c r="E7" t="s">
        <v>345</v>
      </c>
      <c r="F7" t="s">
        <v>352</v>
      </c>
      <c r="G7" t="s">
        <v>407</v>
      </c>
      <c r="H7" t="s">
        <v>404</v>
      </c>
      <c r="I7" t="s">
        <v>371</v>
      </c>
      <c r="J7" s="2" t="s">
        <v>370</v>
      </c>
      <c r="K7" t="s">
        <v>408</v>
      </c>
      <c r="M7" t="str">
        <f>VLOOKUP(B7,'Unit Test'!A:J,10,FALSE)</f>
        <v>codex</v>
      </c>
    </row>
    <row r="8" spans="1:13" ht="19.2" customHeight="1">
      <c r="A8" t="s">
        <v>12</v>
      </c>
      <c r="B8" t="s">
        <v>125</v>
      </c>
      <c r="C8" t="s">
        <v>238</v>
      </c>
      <c r="D8" t="s">
        <v>13</v>
      </c>
      <c r="E8" t="s">
        <v>345</v>
      </c>
      <c r="F8" t="s">
        <v>353</v>
      </c>
      <c r="G8" t="s">
        <v>407</v>
      </c>
      <c r="H8" t="s">
        <v>404</v>
      </c>
      <c r="I8" t="s">
        <v>371</v>
      </c>
      <c r="J8" s="2" t="s">
        <v>370</v>
      </c>
      <c r="K8" t="s">
        <v>408</v>
      </c>
      <c r="M8" t="str">
        <f>VLOOKUP(B8,'Unit Test'!A:J,10,FALSE)</f>
        <v>codex</v>
      </c>
    </row>
    <row r="9" spans="1:13" ht="19.2" customHeight="1">
      <c r="A9" t="s">
        <v>13</v>
      </c>
      <c r="B9" t="s">
        <v>126</v>
      </c>
      <c r="C9" t="s">
        <v>239</v>
      </c>
      <c r="D9" t="s">
        <v>19</v>
      </c>
      <c r="E9" t="s">
        <v>345</v>
      </c>
      <c r="F9" t="s">
        <v>352</v>
      </c>
      <c r="G9" t="s">
        <v>407</v>
      </c>
      <c r="H9" t="s">
        <v>404</v>
      </c>
      <c r="I9" t="s">
        <v>391</v>
      </c>
      <c r="J9" s="2" t="s">
        <v>392</v>
      </c>
      <c r="K9" t="s">
        <v>409</v>
      </c>
      <c r="M9" t="str">
        <f>VLOOKUP(B9,'Unit Test'!A:J,10,FALSE)</f>
        <v>codex</v>
      </c>
    </row>
    <row r="10" spans="1:13" ht="19.2"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2"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2"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2"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2" customHeight="1">
      <c r="A14" t="s">
        <v>18</v>
      </c>
      <c r="B14" s="20" t="s">
        <v>131</v>
      </c>
      <c r="C14" t="s">
        <v>244</v>
      </c>
      <c r="D14" t="s">
        <v>19</v>
      </c>
      <c r="E14" t="s">
        <v>347</v>
      </c>
      <c r="F14" t="s">
        <v>353</v>
      </c>
      <c r="G14" t="s">
        <v>407</v>
      </c>
      <c r="H14" t="s">
        <v>404</v>
      </c>
      <c r="I14" t="s">
        <v>361</v>
      </c>
      <c r="K14" t="s">
        <v>413</v>
      </c>
      <c r="M14">
        <f>VLOOKUP(B14,'Unit Test'!A:J,10,FALSE)</f>
        <v>0</v>
      </c>
    </row>
    <row r="15" spans="1:13" ht="19.2" customHeight="1">
      <c r="A15" t="s">
        <v>19</v>
      </c>
      <c r="B15" t="s">
        <v>132</v>
      </c>
      <c r="C15" t="s">
        <v>245</v>
      </c>
      <c r="D15" t="s">
        <v>15</v>
      </c>
      <c r="E15" t="s">
        <v>347</v>
      </c>
      <c r="F15" t="s">
        <v>353</v>
      </c>
      <c r="G15" t="s">
        <v>407</v>
      </c>
      <c r="H15" t="s">
        <v>404</v>
      </c>
      <c r="I15" t="s">
        <v>361</v>
      </c>
      <c r="K15" t="s">
        <v>413</v>
      </c>
      <c r="M15">
        <f>VLOOKUP(B15,'Unit Test'!A:J,10,FALSE)</f>
        <v>0</v>
      </c>
    </row>
    <row r="16" spans="1:13" ht="19.2"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2" customHeight="1">
      <c r="A17" t="s">
        <v>21</v>
      </c>
      <c r="B17" t="s">
        <v>134</v>
      </c>
      <c r="C17" t="s">
        <v>247</v>
      </c>
      <c r="D17" t="s">
        <v>19</v>
      </c>
      <c r="E17" t="s">
        <v>346</v>
      </c>
      <c r="F17" t="s">
        <v>352</v>
      </c>
      <c r="G17" t="s">
        <v>407</v>
      </c>
      <c r="H17" t="s">
        <v>404</v>
      </c>
      <c r="I17" t="s">
        <v>373</v>
      </c>
      <c r="K17" t="s">
        <v>415</v>
      </c>
      <c r="M17" t="str">
        <f>VLOOKUP(B17,'Unit Test'!A:J,10,FALSE)</f>
        <v>codex</v>
      </c>
    </row>
    <row r="18" spans="1:13" ht="19.2" customHeight="1">
      <c r="A18" t="s">
        <v>22</v>
      </c>
      <c r="B18" t="s">
        <v>135</v>
      </c>
      <c r="C18" t="s">
        <v>248</v>
      </c>
      <c r="D18" t="s">
        <v>17</v>
      </c>
      <c r="E18" t="s">
        <v>347</v>
      </c>
      <c r="F18" t="s">
        <v>353</v>
      </c>
      <c r="G18" t="s">
        <v>407</v>
      </c>
      <c r="H18" t="s">
        <v>404</v>
      </c>
      <c r="I18" t="s">
        <v>373</v>
      </c>
      <c r="M18" t="str">
        <f>VLOOKUP(B18,'Unit Test'!A:J,10,FALSE)</f>
        <v>codex</v>
      </c>
    </row>
    <row r="19" spans="1:13" ht="19.2" customHeight="1">
      <c r="A19" t="s">
        <v>23</v>
      </c>
      <c r="B19" t="s">
        <v>136</v>
      </c>
      <c r="C19" t="s">
        <v>249</v>
      </c>
      <c r="D19" t="s">
        <v>15</v>
      </c>
      <c r="E19" t="s">
        <v>347</v>
      </c>
      <c r="F19" t="s">
        <v>353</v>
      </c>
      <c r="G19" t="s">
        <v>407</v>
      </c>
      <c r="H19" t="s">
        <v>404</v>
      </c>
      <c r="I19" t="s">
        <v>373</v>
      </c>
      <c r="M19" t="str">
        <f>VLOOKUP(B19,'Unit Test'!A:J,10,FALSE)</f>
        <v>codex</v>
      </c>
    </row>
    <row r="20" spans="1:13" ht="19.2" customHeight="1">
      <c r="A20" t="s">
        <v>24</v>
      </c>
      <c r="B20" t="s">
        <v>137</v>
      </c>
      <c r="C20" t="s">
        <v>250</v>
      </c>
      <c r="D20" t="s">
        <v>19</v>
      </c>
      <c r="E20" t="s">
        <v>347</v>
      </c>
      <c r="F20" t="s">
        <v>353</v>
      </c>
      <c r="G20" t="s">
        <v>407</v>
      </c>
      <c r="H20" t="s">
        <v>404</v>
      </c>
      <c r="I20" t="s">
        <v>373</v>
      </c>
      <c r="M20" t="str">
        <f>VLOOKUP(B20,'Unit Test'!A:J,10,FALSE)</f>
        <v>codex</v>
      </c>
    </row>
    <row r="21" spans="1:13" ht="19.2" customHeight="1">
      <c r="A21" t="s">
        <v>25</v>
      </c>
      <c r="B21" t="s">
        <v>138</v>
      </c>
      <c r="C21" t="s">
        <v>251</v>
      </c>
      <c r="D21" t="s">
        <v>13</v>
      </c>
      <c r="E21" t="s">
        <v>348</v>
      </c>
      <c r="F21" t="s">
        <v>354</v>
      </c>
      <c r="G21" t="s">
        <v>407</v>
      </c>
      <c r="H21" t="s">
        <v>404</v>
      </c>
      <c r="I21" t="s">
        <v>373</v>
      </c>
      <c r="M21" t="str">
        <f>VLOOKUP(B21,'Unit Test'!A:J,10,FALSE)</f>
        <v>codex</v>
      </c>
    </row>
    <row r="22" spans="1:13" ht="19.2" customHeight="1">
      <c r="A22" t="s">
        <v>26</v>
      </c>
      <c r="B22" t="s">
        <v>139</v>
      </c>
      <c r="C22" t="s">
        <v>252</v>
      </c>
      <c r="D22" t="s">
        <v>17</v>
      </c>
      <c r="E22" t="s">
        <v>345</v>
      </c>
      <c r="F22" t="s">
        <v>352</v>
      </c>
      <c r="G22" t="s">
        <v>407</v>
      </c>
      <c r="H22" t="s">
        <v>404</v>
      </c>
      <c r="I22" t="s">
        <v>373</v>
      </c>
      <c r="M22" t="str">
        <f>VLOOKUP(B22,'Unit Test'!A:J,10,FALSE)</f>
        <v>codex</v>
      </c>
    </row>
    <row r="23" spans="1:13" ht="19.2"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2" customHeight="1">
      <c r="A24" t="s">
        <v>28</v>
      </c>
      <c r="B24" t="s">
        <v>141</v>
      </c>
      <c r="C24" t="s">
        <v>254</v>
      </c>
      <c r="D24" t="s">
        <v>21</v>
      </c>
      <c r="E24" t="s">
        <v>345</v>
      </c>
      <c r="F24" t="s">
        <v>352</v>
      </c>
      <c r="G24" t="s">
        <v>407</v>
      </c>
      <c r="H24" t="s">
        <v>404</v>
      </c>
      <c r="I24" t="s">
        <v>359</v>
      </c>
      <c r="K24" t="s">
        <v>417</v>
      </c>
      <c r="M24" t="str">
        <f>VLOOKUP(B24,'Unit Test'!A:J,10,FALSE)</f>
        <v>codex</v>
      </c>
    </row>
    <row r="25" spans="1:13" ht="19.2" customHeight="1">
      <c r="A25" t="s">
        <v>29</v>
      </c>
      <c r="B25" t="s">
        <v>142</v>
      </c>
      <c r="C25" t="s">
        <v>255</v>
      </c>
      <c r="D25" t="s">
        <v>21</v>
      </c>
      <c r="E25" t="s">
        <v>345</v>
      </c>
      <c r="F25" t="s">
        <v>352</v>
      </c>
      <c r="G25" t="s">
        <v>407</v>
      </c>
      <c r="H25" t="s">
        <v>404</v>
      </c>
      <c r="I25" t="s">
        <v>359</v>
      </c>
      <c r="M25" t="str">
        <f>VLOOKUP(B25,'Unit Test'!A:J,10,FALSE)</f>
        <v>codex</v>
      </c>
    </row>
    <row r="26" spans="1:13" ht="19.2" customHeight="1">
      <c r="A26" t="s">
        <v>30</v>
      </c>
      <c r="B26" t="s">
        <v>143</v>
      </c>
      <c r="C26" t="s">
        <v>256</v>
      </c>
      <c r="D26" t="s">
        <v>17</v>
      </c>
      <c r="E26" t="s">
        <v>346</v>
      </c>
      <c r="F26" t="s">
        <v>352</v>
      </c>
      <c r="G26" t="s">
        <v>407</v>
      </c>
      <c r="H26" t="s">
        <v>404</v>
      </c>
      <c r="I26" t="s">
        <v>359</v>
      </c>
      <c r="M26" t="str">
        <f>VLOOKUP(B26,'Unit Test'!A:J,10,FALSE)</f>
        <v>codex</v>
      </c>
    </row>
    <row r="27" spans="1:13" ht="19.2" customHeight="1">
      <c r="A27" t="s">
        <v>31</v>
      </c>
      <c r="B27" t="s">
        <v>144</v>
      </c>
      <c r="C27" t="s">
        <v>257</v>
      </c>
      <c r="D27" t="s">
        <v>15</v>
      </c>
      <c r="E27" t="s">
        <v>346</v>
      </c>
      <c r="F27" t="s">
        <v>352</v>
      </c>
      <c r="G27" t="s">
        <v>407</v>
      </c>
      <c r="H27" t="s">
        <v>404</v>
      </c>
      <c r="I27" t="s">
        <v>359</v>
      </c>
      <c r="M27" t="str">
        <f>VLOOKUP(B27,'Unit Test'!A:J,10,FALSE)</f>
        <v>codex</v>
      </c>
    </row>
    <row r="28" spans="1:13" ht="19.2"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2" customHeight="1">
      <c r="A29" t="s">
        <v>33</v>
      </c>
      <c r="B29" t="s">
        <v>146</v>
      </c>
      <c r="C29" t="s">
        <v>259</v>
      </c>
      <c r="D29" t="s">
        <v>19</v>
      </c>
      <c r="E29" t="s">
        <v>345</v>
      </c>
      <c r="F29" t="s">
        <v>352</v>
      </c>
      <c r="G29" t="s">
        <v>407</v>
      </c>
      <c r="H29" t="s">
        <v>404</v>
      </c>
      <c r="I29" t="s">
        <v>375</v>
      </c>
      <c r="M29" t="str">
        <f>VLOOKUP(B29,'Unit Test'!A:J,10,FALSE)</f>
        <v>codex</v>
      </c>
    </row>
    <row r="30" spans="1:13" ht="19.2" customHeight="1">
      <c r="A30" t="s">
        <v>34</v>
      </c>
      <c r="B30" t="s">
        <v>147</v>
      </c>
      <c r="C30" t="s">
        <v>260</v>
      </c>
      <c r="D30" t="s">
        <v>17</v>
      </c>
      <c r="E30" t="s">
        <v>345</v>
      </c>
      <c r="F30" t="s">
        <v>352</v>
      </c>
      <c r="G30" t="s">
        <v>407</v>
      </c>
      <c r="H30" t="s">
        <v>404</v>
      </c>
      <c r="I30" t="s">
        <v>375</v>
      </c>
      <c r="M30" t="str">
        <f>VLOOKUP(B30,'Unit Test'!A:J,10,FALSE)</f>
        <v>codex</v>
      </c>
    </row>
    <row r="31" spans="1:13" ht="19.2" customHeight="1">
      <c r="A31" t="s">
        <v>35</v>
      </c>
      <c r="B31" t="s">
        <v>148</v>
      </c>
      <c r="C31" t="s">
        <v>261</v>
      </c>
      <c r="D31" t="s">
        <v>15</v>
      </c>
      <c r="E31" t="s">
        <v>346</v>
      </c>
      <c r="F31" t="s">
        <v>353</v>
      </c>
      <c r="G31" t="s">
        <v>407</v>
      </c>
      <c r="H31" t="s">
        <v>404</v>
      </c>
      <c r="I31" t="s">
        <v>375</v>
      </c>
      <c r="M31" t="str">
        <f>VLOOKUP(B31,'Unit Test'!A:J,10,FALSE)</f>
        <v>codex</v>
      </c>
    </row>
    <row r="32" spans="1:13" ht="19.2" customHeight="1">
      <c r="A32" t="s">
        <v>36</v>
      </c>
      <c r="B32" t="s">
        <v>149</v>
      </c>
      <c r="C32" t="s">
        <v>262</v>
      </c>
      <c r="D32" t="s">
        <v>21</v>
      </c>
      <c r="E32" t="s">
        <v>345</v>
      </c>
      <c r="F32" t="s">
        <v>352</v>
      </c>
      <c r="G32" t="s">
        <v>407</v>
      </c>
      <c r="H32" t="s">
        <v>404</v>
      </c>
      <c r="I32" t="s">
        <v>375</v>
      </c>
      <c r="M32" t="str">
        <f>VLOOKUP(B32,'Unit Test'!A:J,10,FALSE)</f>
        <v>codex</v>
      </c>
    </row>
    <row r="33" spans="1:13" ht="19.2" customHeight="1">
      <c r="A33" t="s">
        <v>37</v>
      </c>
      <c r="B33" t="s">
        <v>150</v>
      </c>
      <c r="C33" t="s">
        <v>263</v>
      </c>
      <c r="D33" t="s">
        <v>17</v>
      </c>
      <c r="E33" t="s">
        <v>347</v>
      </c>
      <c r="F33" t="s">
        <v>353</v>
      </c>
      <c r="G33" t="s">
        <v>407</v>
      </c>
      <c r="H33" t="s">
        <v>404</v>
      </c>
      <c r="I33" t="s">
        <v>375</v>
      </c>
      <c r="M33" t="str">
        <f>VLOOKUP(B33,'Unit Test'!A:J,10,FALSE)</f>
        <v>codex</v>
      </c>
    </row>
    <row r="34" spans="1:13" ht="19.2" customHeight="1">
      <c r="A34" t="s">
        <v>38</v>
      </c>
      <c r="B34" t="s">
        <v>151</v>
      </c>
      <c r="C34" t="s">
        <v>264</v>
      </c>
      <c r="D34" t="s">
        <v>23</v>
      </c>
      <c r="E34" t="s">
        <v>347</v>
      </c>
      <c r="F34" t="s">
        <v>352</v>
      </c>
      <c r="G34" t="s">
        <v>407</v>
      </c>
      <c r="H34" t="s">
        <v>404</v>
      </c>
      <c r="I34" t="s">
        <v>376</v>
      </c>
      <c r="J34" s="2" t="s">
        <v>377</v>
      </c>
      <c r="M34" t="str">
        <f>VLOOKUP(B34,'Unit Test'!A:J,10,FALSE)</f>
        <v>codex</v>
      </c>
    </row>
    <row r="35" spans="1:13" ht="19.2" customHeight="1">
      <c r="A35" t="s">
        <v>39</v>
      </c>
      <c r="B35" t="s">
        <v>152</v>
      </c>
      <c r="C35" t="s">
        <v>265</v>
      </c>
      <c r="D35" t="s">
        <v>19</v>
      </c>
      <c r="E35" t="s">
        <v>347</v>
      </c>
      <c r="F35" t="s">
        <v>353</v>
      </c>
      <c r="G35" t="s">
        <v>407</v>
      </c>
      <c r="H35" t="s">
        <v>404</v>
      </c>
      <c r="I35" t="s">
        <v>376</v>
      </c>
      <c r="K35" t="s">
        <v>762</v>
      </c>
      <c r="M35" t="str">
        <f>VLOOKUP(B35,'Unit Test'!A:J,10,FALSE)</f>
        <v>codex</v>
      </c>
    </row>
    <row r="36" spans="1:13" ht="19.2" customHeight="1">
      <c r="A36" t="s">
        <v>40</v>
      </c>
      <c r="B36" t="s">
        <v>153</v>
      </c>
      <c r="C36" t="s">
        <v>266</v>
      </c>
      <c r="D36" t="s">
        <v>17</v>
      </c>
      <c r="E36" t="s">
        <v>348</v>
      </c>
      <c r="F36" t="s">
        <v>353</v>
      </c>
      <c r="G36" t="s">
        <v>407</v>
      </c>
      <c r="H36" t="s">
        <v>404</v>
      </c>
      <c r="I36" t="s">
        <v>376</v>
      </c>
      <c r="K36" t="s">
        <v>763</v>
      </c>
      <c r="M36" t="str">
        <f>VLOOKUP(B36,'Unit Test'!A:J,10,FALSE)</f>
        <v>codex</v>
      </c>
    </row>
    <row r="37" spans="1:13" ht="19.2" customHeight="1">
      <c r="A37" t="s">
        <v>41</v>
      </c>
      <c r="B37" t="s">
        <v>154</v>
      </c>
      <c r="C37" t="s">
        <v>267</v>
      </c>
      <c r="D37" t="s">
        <v>15</v>
      </c>
      <c r="E37" t="s">
        <v>348</v>
      </c>
      <c r="F37" t="s">
        <v>353</v>
      </c>
      <c r="G37" t="s">
        <v>407</v>
      </c>
      <c r="H37" t="s">
        <v>404</v>
      </c>
      <c r="I37" t="s">
        <v>376</v>
      </c>
      <c r="K37" t="s">
        <v>764</v>
      </c>
      <c r="M37" t="str">
        <f>VLOOKUP(B37,'Unit Test'!A:J,10,FALSE)</f>
        <v>codex</v>
      </c>
    </row>
    <row r="38" spans="1:13" ht="19.2" customHeight="1">
      <c r="A38" t="s">
        <v>42</v>
      </c>
      <c r="B38" t="s">
        <v>155</v>
      </c>
      <c r="C38" t="s">
        <v>268</v>
      </c>
      <c r="D38" t="s">
        <v>17</v>
      </c>
      <c r="E38" t="s">
        <v>348</v>
      </c>
      <c r="F38" t="s">
        <v>353</v>
      </c>
      <c r="G38" t="s">
        <v>407</v>
      </c>
      <c r="H38" t="s">
        <v>404</v>
      </c>
      <c r="I38" t="s">
        <v>376</v>
      </c>
      <c r="K38" t="s">
        <v>765</v>
      </c>
      <c r="M38" t="str">
        <f>VLOOKUP(B38,'Unit Test'!A:J,10,FALSE)</f>
        <v>codex</v>
      </c>
    </row>
    <row r="39" spans="1:13" ht="19.2"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2" customHeight="1">
      <c r="A40" t="s">
        <v>44</v>
      </c>
      <c r="B40" t="s">
        <v>157</v>
      </c>
      <c r="C40" t="s">
        <v>270</v>
      </c>
      <c r="D40" t="s">
        <v>19</v>
      </c>
      <c r="E40" t="s">
        <v>347</v>
      </c>
      <c r="F40" t="s">
        <v>352</v>
      </c>
      <c r="G40" t="s">
        <v>407</v>
      </c>
      <c r="H40" t="s">
        <v>404</v>
      </c>
      <c r="I40" t="s">
        <v>376</v>
      </c>
      <c r="M40" t="str">
        <f>VLOOKUP(B40,'Unit Test'!A:J,10,FALSE)</f>
        <v>codex</v>
      </c>
    </row>
    <row r="41" spans="1:13" ht="19.2" customHeight="1">
      <c r="A41" t="s">
        <v>45</v>
      </c>
      <c r="B41" t="s">
        <v>158</v>
      </c>
      <c r="C41" t="s">
        <v>271</v>
      </c>
      <c r="D41" t="s">
        <v>15</v>
      </c>
      <c r="E41" t="s">
        <v>348</v>
      </c>
      <c r="F41" t="s">
        <v>353</v>
      </c>
      <c r="G41" t="s">
        <v>407</v>
      </c>
      <c r="H41" t="s">
        <v>404</v>
      </c>
      <c r="I41" t="s">
        <v>376</v>
      </c>
      <c r="M41" t="str">
        <f>VLOOKUP(B41,'Unit Test'!A:J,10,FALSE)</f>
        <v>codex</v>
      </c>
    </row>
    <row r="42" spans="1:13" ht="19.2" customHeight="1">
      <c r="A42" t="s">
        <v>46</v>
      </c>
      <c r="B42" t="s">
        <v>159</v>
      </c>
      <c r="C42" t="s">
        <v>272</v>
      </c>
      <c r="D42" t="s">
        <v>21</v>
      </c>
      <c r="E42" t="s">
        <v>346</v>
      </c>
      <c r="F42" t="s">
        <v>352</v>
      </c>
      <c r="G42" t="s">
        <v>407</v>
      </c>
      <c r="H42" t="s">
        <v>404</v>
      </c>
      <c r="I42" t="s">
        <v>376</v>
      </c>
      <c r="M42" t="str">
        <f>VLOOKUP(B42,'Unit Test'!A:J,10,FALSE)</f>
        <v>codex</v>
      </c>
    </row>
    <row r="43" spans="1:13" ht="19.2" customHeight="1">
      <c r="A43" t="s">
        <v>47</v>
      </c>
      <c r="B43" t="s">
        <v>160</v>
      </c>
      <c r="C43" t="s">
        <v>273</v>
      </c>
      <c r="D43" t="s">
        <v>19</v>
      </c>
      <c r="E43" t="s">
        <v>347</v>
      </c>
      <c r="F43" t="s">
        <v>353</v>
      </c>
      <c r="G43" t="s">
        <v>407</v>
      </c>
      <c r="H43" t="s">
        <v>404</v>
      </c>
      <c r="I43" t="s">
        <v>376</v>
      </c>
      <c r="M43" t="str">
        <f>VLOOKUP(B43,'Unit Test'!A:J,10,FALSE)</f>
        <v>codex</v>
      </c>
    </row>
    <row r="44" spans="1:13" ht="19.2" customHeight="1">
      <c r="A44" t="s">
        <v>48</v>
      </c>
      <c r="B44" t="s">
        <v>161</v>
      </c>
      <c r="C44" t="s">
        <v>274</v>
      </c>
      <c r="D44" t="s">
        <v>15</v>
      </c>
      <c r="E44" t="s">
        <v>348</v>
      </c>
      <c r="F44" t="s">
        <v>353</v>
      </c>
      <c r="G44" t="s">
        <v>407</v>
      </c>
      <c r="H44" t="s">
        <v>404</v>
      </c>
      <c r="I44" t="s">
        <v>376</v>
      </c>
      <c r="M44" t="str">
        <f>VLOOKUP(B44,'Unit Test'!A:J,10,FALSE)</f>
        <v>codex</v>
      </c>
    </row>
    <row r="45" spans="1:13" ht="19.2" customHeight="1">
      <c r="A45" t="s">
        <v>49</v>
      </c>
      <c r="B45" t="s">
        <v>162</v>
      </c>
      <c r="C45" t="s">
        <v>275</v>
      </c>
      <c r="D45" t="s">
        <v>13</v>
      </c>
      <c r="E45" t="s">
        <v>348</v>
      </c>
      <c r="F45" t="s">
        <v>353</v>
      </c>
      <c r="G45" t="s">
        <v>407</v>
      </c>
      <c r="H45" t="s">
        <v>404</v>
      </c>
      <c r="I45" t="s">
        <v>376</v>
      </c>
      <c r="M45" t="str">
        <f>VLOOKUP(B45,'Unit Test'!A:J,10,FALSE)</f>
        <v>codex</v>
      </c>
    </row>
    <row r="46" spans="1:13" ht="19.2" customHeight="1">
      <c r="A46" t="s">
        <v>50</v>
      </c>
      <c r="B46" t="s">
        <v>163</v>
      </c>
      <c r="C46" t="s">
        <v>276</v>
      </c>
      <c r="D46" t="s">
        <v>15</v>
      </c>
      <c r="E46" t="s">
        <v>349</v>
      </c>
      <c r="F46" t="s">
        <v>354</v>
      </c>
      <c r="G46" t="s">
        <v>407</v>
      </c>
      <c r="H46" t="s">
        <v>404</v>
      </c>
      <c r="I46" t="s">
        <v>376</v>
      </c>
      <c r="M46" t="str">
        <f>VLOOKUP(B46,'Unit Test'!A:J,10,FALSE)</f>
        <v>codex</v>
      </c>
    </row>
    <row r="47" spans="1:13" ht="19.2"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2" customHeight="1">
      <c r="A48" t="s">
        <v>52</v>
      </c>
      <c r="B48" t="s">
        <v>165</v>
      </c>
      <c r="C48" t="s">
        <v>278</v>
      </c>
      <c r="D48" t="s">
        <v>19</v>
      </c>
      <c r="E48" t="s">
        <v>347</v>
      </c>
      <c r="F48" t="s">
        <v>353</v>
      </c>
      <c r="G48" t="s">
        <v>407</v>
      </c>
      <c r="H48" t="s">
        <v>404</v>
      </c>
      <c r="I48" t="s">
        <v>379</v>
      </c>
      <c r="M48" t="str">
        <f>VLOOKUP(B48,'Unit Test'!A:J,10,FALSE)</f>
        <v>codex</v>
      </c>
    </row>
    <row r="49" spans="1:13" ht="19.2" customHeight="1">
      <c r="A49" t="s">
        <v>53</v>
      </c>
      <c r="B49" t="s">
        <v>166</v>
      </c>
      <c r="C49" t="s">
        <v>279</v>
      </c>
      <c r="D49" t="s">
        <v>15</v>
      </c>
      <c r="E49" t="s">
        <v>348</v>
      </c>
      <c r="F49" t="s">
        <v>353</v>
      </c>
      <c r="G49" t="s">
        <v>407</v>
      </c>
      <c r="H49" t="s">
        <v>404</v>
      </c>
      <c r="I49" t="s">
        <v>379</v>
      </c>
      <c r="M49" t="str">
        <f>VLOOKUP(B49,'Unit Test'!A:J,10,FALSE)</f>
        <v>codex</v>
      </c>
    </row>
    <row r="50" spans="1:13" ht="19.2" customHeight="1">
      <c r="A50" t="s">
        <v>54</v>
      </c>
      <c r="B50" t="s">
        <v>167</v>
      </c>
      <c r="C50" t="s">
        <v>280</v>
      </c>
      <c r="D50" t="s">
        <v>15</v>
      </c>
      <c r="E50" t="s">
        <v>347</v>
      </c>
      <c r="F50" t="s">
        <v>353</v>
      </c>
      <c r="G50" t="s">
        <v>407</v>
      </c>
      <c r="H50" t="s">
        <v>404</v>
      </c>
      <c r="I50" t="s">
        <v>379</v>
      </c>
      <c r="M50">
        <f>VLOOKUP(B50,'Unit Test'!A:J,10,FALSE)</f>
        <v>0</v>
      </c>
    </row>
    <row r="51" spans="1:13" ht="19.2" customHeight="1">
      <c r="A51" t="s">
        <v>55</v>
      </c>
      <c r="B51" t="s">
        <v>168</v>
      </c>
      <c r="C51" t="s">
        <v>281</v>
      </c>
      <c r="D51" t="s">
        <v>19</v>
      </c>
      <c r="E51" t="s">
        <v>348</v>
      </c>
      <c r="F51" t="s">
        <v>353</v>
      </c>
      <c r="G51" t="s">
        <v>407</v>
      </c>
      <c r="H51" t="s">
        <v>404</v>
      </c>
      <c r="I51" t="s">
        <v>379</v>
      </c>
      <c r="M51">
        <f>VLOOKUP(B51,'Unit Test'!A:J,10,FALSE)</f>
        <v>0</v>
      </c>
    </row>
    <row r="52" spans="1:13" ht="19.2" customHeight="1">
      <c r="A52" t="s">
        <v>56</v>
      </c>
      <c r="B52" t="s">
        <v>169</v>
      </c>
      <c r="C52" t="s">
        <v>282</v>
      </c>
      <c r="D52" t="s">
        <v>15</v>
      </c>
      <c r="E52" t="s">
        <v>349</v>
      </c>
      <c r="F52" t="s">
        <v>354</v>
      </c>
      <c r="G52" t="s">
        <v>407</v>
      </c>
      <c r="H52" t="s">
        <v>404</v>
      </c>
      <c r="I52" t="s">
        <v>379</v>
      </c>
      <c r="M52">
        <f>VLOOKUP(B52,'Unit Test'!A:J,10,FALSE)</f>
        <v>0</v>
      </c>
    </row>
    <row r="53" spans="1:13" ht="19.2" customHeight="1">
      <c r="A53" t="s">
        <v>57</v>
      </c>
      <c r="B53" t="s">
        <v>170</v>
      </c>
      <c r="C53" t="s">
        <v>283</v>
      </c>
      <c r="D53" t="s">
        <v>13</v>
      </c>
      <c r="E53" t="s">
        <v>349</v>
      </c>
      <c r="F53" t="s">
        <v>354</v>
      </c>
      <c r="G53" t="s">
        <v>407</v>
      </c>
      <c r="H53" t="s">
        <v>404</v>
      </c>
      <c r="I53" t="s">
        <v>379</v>
      </c>
      <c r="M53">
        <f>VLOOKUP(B53,'Unit Test'!A:J,10,FALSE)</f>
        <v>0</v>
      </c>
    </row>
    <row r="54" spans="1:13" ht="19.2" customHeight="1">
      <c r="A54" t="s">
        <v>58</v>
      </c>
      <c r="B54" t="s">
        <v>171</v>
      </c>
      <c r="C54" t="s">
        <v>284</v>
      </c>
      <c r="D54" t="s">
        <v>17</v>
      </c>
      <c r="E54" t="s">
        <v>347</v>
      </c>
      <c r="F54" t="s">
        <v>353</v>
      </c>
      <c r="G54" t="s">
        <v>407</v>
      </c>
      <c r="H54" t="s">
        <v>404</v>
      </c>
      <c r="I54" t="s">
        <v>379</v>
      </c>
      <c r="M54">
        <f>VLOOKUP(B54,'Unit Test'!A:J,10,FALSE)</f>
        <v>0</v>
      </c>
    </row>
    <row r="55" spans="1:13" ht="19.2" customHeight="1">
      <c r="A55" t="s">
        <v>59</v>
      </c>
      <c r="B55" t="s">
        <v>172</v>
      </c>
      <c r="C55" t="s">
        <v>285</v>
      </c>
      <c r="D55" t="s">
        <v>15</v>
      </c>
      <c r="E55" t="s">
        <v>348</v>
      </c>
      <c r="F55" t="s">
        <v>353</v>
      </c>
      <c r="G55" t="s">
        <v>407</v>
      </c>
      <c r="H55" t="s">
        <v>404</v>
      </c>
      <c r="I55" t="s">
        <v>379</v>
      </c>
      <c r="M55">
        <f>VLOOKUP(B55,'Unit Test'!A:J,10,FALSE)</f>
        <v>0</v>
      </c>
    </row>
    <row r="56" spans="1:13" ht="19.2" customHeight="1">
      <c r="A56" t="s">
        <v>60</v>
      </c>
      <c r="B56" t="s">
        <v>173</v>
      </c>
      <c r="C56" t="s">
        <v>286</v>
      </c>
      <c r="D56" t="s">
        <v>15</v>
      </c>
      <c r="E56" t="s">
        <v>348</v>
      </c>
      <c r="F56" t="s">
        <v>353</v>
      </c>
      <c r="G56" t="s">
        <v>407</v>
      </c>
      <c r="H56" t="s">
        <v>404</v>
      </c>
      <c r="I56" t="s">
        <v>379</v>
      </c>
      <c r="M56">
        <f>VLOOKUP(B56,'Unit Test'!A:J,10,FALSE)</f>
        <v>0</v>
      </c>
    </row>
    <row r="57" spans="1:13" ht="19.2" customHeight="1">
      <c r="A57" t="s">
        <v>61</v>
      </c>
      <c r="B57" t="s">
        <v>174</v>
      </c>
      <c r="C57" t="s">
        <v>287</v>
      </c>
      <c r="D57" t="s">
        <v>13</v>
      </c>
      <c r="E57" t="s">
        <v>349</v>
      </c>
      <c r="F57" t="s">
        <v>354</v>
      </c>
      <c r="G57" t="s">
        <v>407</v>
      </c>
      <c r="H57" t="s">
        <v>404</v>
      </c>
      <c r="I57" t="s">
        <v>379</v>
      </c>
      <c r="M57">
        <f>VLOOKUP(B57,'Unit Test'!A:J,10,FALSE)</f>
        <v>0</v>
      </c>
    </row>
    <row r="58" spans="1:13" ht="19.2" customHeight="1">
      <c r="A58" t="s">
        <v>62</v>
      </c>
      <c r="B58" t="s">
        <v>175</v>
      </c>
      <c r="C58" t="s">
        <v>288</v>
      </c>
      <c r="D58" t="s">
        <v>13</v>
      </c>
      <c r="E58" t="s">
        <v>349</v>
      </c>
      <c r="F58" t="s">
        <v>354</v>
      </c>
      <c r="G58" t="s">
        <v>407</v>
      </c>
      <c r="H58" t="s">
        <v>404</v>
      </c>
      <c r="I58" t="s">
        <v>379</v>
      </c>
      <c r="M58">
        <f>VLOOKUP(B58,'Unit Test'!A:J,10,FALSE)</f>
        <v>0</v>
      </c>
    </row>
    <row r="59" spans="1:13" ht="19.2" customHeight="1">
      <c r="A59" t="s">
        <v>63</v>
      </c>
      <c r="B59" t="s">
        <v>176</v>
      </c>
      <c r="C59" t="s">
        <v>289</v>
      </c>
      <c r="D59" t="s">
        <v>17</v>
      </c>
      <c r="E59" t="s">
        <v>347</v>
      </c>
      <c r="F59" t="s">
        <v>352</v>
      </c>
      <c r="G59" t="s">
        <v>407</v>
      </c>
      <c r="H59" t="s">
        <v>404</v>
      </c>
      <c r="I59" t="s">
        <v>373</v>
      </c>
      <c r="M59">
        <f>VLOOKUP(B59,'Unit Test'!A:J,10,FALSE)</f>
        <v>0</v>
      </c>
    </row>
    <row r="60" spans="1:13" ht="19.2" customHeight="1">
      <c r="A60" t="s">
        <v>64</v>
      </c>
      <c r="B60" t="s">
        <v>177</v>
      </c>
      <c r="C60" t="s">
        <v>290</v>
      </c>
      <c r="D60" t="s">
        <v>19</v>
      </c>
      <c r="E60" t="s">
        <v>347</v>
      </c>
      <c r="F60" t="s">
        <v>352</v>
      </c>
      <c r="G60" t="s">
        <v>407</v>
      </c>
      <c r="H60" t="s">
        <v>404</v>
      </c>
      <c r="I60" t="s">
        <v>373</v>
      </c>
      <c r="M60">
        <f>VLOOKUP(B60,'Unit Test'!A:J,10,FALSE)</f>
        <v>0</v>
      </c>
    </row>
    <row r="61" spans="1:13" ht="19.2" customHeight="1">
      <c r="A61" t="s">
        <v>65</v>
      </c>
      <c r="B61" t="s">
        <v>178</v>
      </c>
      <c r="C61" t="s">
        <v>291</v>
      </c>
      <c r="D61" t="s">
        <v>17</v>
      </c>
      <c r="E61" t="s">
        <v>348</v>
      </c>
      <c r="F61" t="s">
        <v>353</v>
      </c>
      <c r="G61" t="s">
        <v>407</v>
      </c>
      <c r="H61" t="s">
        <v>404</v>
      </c>
      <c r="I61" t="s">
        <v>373</v>
      </c>
      <c r="M61">
        <f>VLOOKUP(B61,'Unit Test'!A:J,10,FALSE)</f>
        <v>0</v>
      </c>
    </row>
    <row r="62" spans="1:13" ht="19.2" customHeight="1">
      <c r="A62" t="s">
        <v>66</v>
      </c>
      <c r="B62" t="s">
        <v>179</v>
      </c>
      <c r="C62" t="s">
        <v>292</v>
      </c>
      <c r="D62" t="s">
        <v>21</v>
      </c>
      <c r="E62" t="s">
        <v>346</v>
      </c>
      <c r="F62" t="s">
        <v>352</v>
      </c>
      <c r="G62" t="s">
        <v>407</v>
      </c>
      <c r="H62" t="s">
        <v>404</v>
      </c>
      <c r="I62" t="s">
        <v>375</v>
      </c>
      <c r="M62">
        <f>VLOOKUP(B62,'Unit Test'!A:J,10,FALSE)</f>
        <v>0</v>
      </c>
    </row>
    <row r="63" spans="1:13" ht="19.2" customHeight="1">
      <c r="A63" t="s">
        <v>67</v>
      </c>
      <c r="B63" t="s">
        <v>180</v>
      </c>
      <c r="C63" t="s">
        <v>293</v>
      </c>
      <c r="D63" t="s">
        <v>15</v>
      </c>
      <c r="E63" t="s">
        <v>347</v>
      </c>
      <c r="F63" t="s">
        <v>353</v>
      </c>
      <c r="G63" t="s">
        <v>407</v>
      </c>
      <c r="H63" t="s">
        <v>404</v>
      </c>
      <c r="I63" t="s">
        <v>375</v>
      </c>
      <c r="M63">
        <f>VLOOKUP(B63,'Unit Test'!A:J,10,FALSE)</f>
        <v>0</v>
      </c>
    </row>
    <row r="64" spans="1:13" ht="19.2" customHeight="1">
      <c r="A64" t="s">
        <v>68</v>
      </c>
      <c r="B64" t="s">
        <v>181</v>
      </c>
      <c r="C64" t="s">
        <v>294</v>
      </c>
      <c r="D64" t="s">
        <v>17</v>
      </c>
      <c r="E64" t="s">
        <v>348</v>
      </c>
      <c r="F64" t="s">
        <v>353</v>
      </c>
      <c r="G64" t="s">
        <v>407</v>
      </c>
      <c r="H64" t="s">
        <v>404</v>
      </c>
      <c r="I64" t="s">
        <v>376</v>
      </c>
      <c r="M64" t="str">
        <f>VLOOKUP(B64,'Unit Test'!A:J,10,FALSE)</f>
        <v>codex</v>
      </c>
    </row>
    <row r="65" spans="1:13" ht="19.2" customHeight="1">
      <c r="A65" t="s">
        <v>69</v>
      </c>
      <c r="B65" t="s">
        <v>182</v>
      </c>
      <c r="C65" t="s">
        <v>295</v>
      </c>
      <c r="D65" t="s">
        <v>19</v>
      </c>
      <c r="E65" t="s">
        <v>348</v>
      </c>
      <c r="F65" t="s">
        <v>353</v>
      </c>
      <c r="G65" t="s">
        <v>407</v>
      </c>
      <c r="H65" t="s">
        <v>404</v>
      </c>
      <c r="I65" t="s">
        <v>376</v>
      </c>
      <c r="M65" t="str">
        <f>VLOOKUP(B65,'Unit Test'!A:J,10,FALSE)</f>
        <v>codex</v>
      </c>
    </row>
    <row r="66" spans="1:13" ht="19.2" customHeight="1">
      <c r="A66" t="s">
        <v>70</v>
      </c>
      <c r="B66" t="s">
        <v>183</v>
      </c>
      <c r="C66" t="s">
        <v>296</v>
      </c>
      <c r="D66" t="s">
        <v>15</v>
      </c>
      <c r="E66" t="s">
        <v>348</v>
      </c>
      <c r="F66" t="s">
        <v>353</v>
      </c>
      <c r="G66" t="s">
        <v>407</v>
      </c>
      <c r="H66" t="s">
        <v>404</v>
      </c>
      <c r="I66" t="s">
        <v>376</v>
      </c>
      <c r="M66">
        <f>VLOOKUP(B66,'Unit Test'!A:J,10,FALSE)</f>
        <v>0</v>
      </c>
    </row>
    <row r="67" spans="1:13" ht="19.2" customHeight="1">
      <c r="A67" t="s">
        <v>71</v>
      </c>
      <c r="B67" t="s">
        <v>184</v>
      </c>
      <c r="C67" t="s">
        <v>297</v>
      </c>
      <c r="D67" t="s">
        <v>17</v>
      </c>
      <c r="E67" t="s">
        <v>347</v>
      </c>
      <c r="F67" t="s">
        <v>352</v>
      </c>
      <c r="G67" t="s">
        <v>407</v>
      </c>
      <c r="H67" t="s">
        <v>404</v>
      </c>
      <c r="I67" t="s">
        <v>376</v>
      </c>
      <c r="M67">
        <f>VLOOKUP(B67,'Unit Test'!A:J,10,FALSE)</f>
        <v>0</v>
      </c>
    </row>
    <row r="68" spans="1:13" ht="19.2" customHeight="1">
      <c r="A68" t="s">
        <v>72</v>
      </c>
      <c r="B68" t="s">
        <v>185</v>
      </c>
      <c r="C68" t="s">
        <v>298</v>
      </c>
      <c r="D68" t="s">
        <v>15</v>
      </c>
      <c r="E68" t="s">
        <v>348</v>
      </c>
      <c r="F68" t="s">
        <v>353</v>
      </c>
      <c r="G68" t="s">
        <v>407</v>
      </c>
      <c r="H68" t="s">
        <v>404</v>
      </c>
      <c r="I68" t="s">
        <v>379</v>
      </c>
      <c r="M68">
        <f>VLOOKUP(B68,'Unit Test'!A:J,10,FALSE)</f>
        <v>0</v>
      </c>
    </row>
    <row r="69" spans="1:13" ht="19.2" customHeight="1">
      <c r="A69" t="s">
        <v>73</v>
      </c>
      <c r="B69" t="s">
        <v>186</v>
      </c>
      <c r="C69" t="s">
        <v>299</v>
      </c>
      <c r="D69" t="s">
        <v>15</v>
      </c>
      <c r="E69" t="s">
        <v>348</v>
      </c>
      <c r="F69" t="s">
        <v>353</v>
      </c>
      <c r="G69" t="s">
        <v>407</v>
      </c>
      <c r="H69" t="s">
        <v>404</v>
      </c>
      <c r="I69" t="s">
        <v>379</v>
      </c>
      <c r="M69">
        <f>VLOOKUP(B69,'Unit Test'!A:J,10,FALSE)</f>
        <v>0</v>
      </c>
    </row>
    <row r="70" spans="1:13" ht="19.2" customHeight="1">
      <c r="A70" t="s">
        <v>74</v>
      </c>
      <c r="B70" t="s">
        <v>187</v>
      </c>
      <c r="C70" t="s">
        <v>300</v>
      </c>
      <c r="D70" t="s">
        <v>17</v>
      </c>
      <c r="E70" t="s">
        <v>348</v>
      </c>
      <c r="F70" t="s">
        <v>353</v>
      </c>
      <c r="G70" t="s">
        <v>407</v>
      </c>
      <c r="H70" t="s">
        <v>404</v>
      </c>
      <c r="I70" t="s">
        <v>379</v>
      </c>
      <c r="M70">
        <f>VLOOKUP(B70,'Unit Test'!A:J,10,FALSE)</f>
        <v>0</v>
      </c>
    </row>
    <row r="71" spans="1:13" ht="19.2" customHeight="1">
      <c r="A71" t="s">
        <v>75</v>
      </c>
      <c r="B71" t="s">
        <v>188</v>
      </c>
      <c r="C71" t="s">
        <v>301</v>
      </c>
      <c r="D71" t="s">
        <v>15</v>
      </c>
      <c r="E71" t="s">
        <v>349</v>
      </c>
      <c r="F71" t="s">
        <v>354</v>
      </c>
      <c r="G71" t="s">
        <v>407</v>
      </c>
      <c r="H71" t="s">
        <v>404</v>
      </c>
      <c r="I71" t="s">
        <v>379</v>
      </c>
      <c r="M71">
        <f>VLOOKUP(B71,'Unit Test'!A:J,10,FALSE)</f>
        <v>0</v>
      </c>
    </row>
    <row r="72" spans="1:13" ht="19.2"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2"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2"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2" customHeight="1">
      <c r="A75" t="s">
        <v>79</v>
      </c>
      <c r="B75" t="s">
        <v>192</v>
      </c>
      <c r="C75" t="s">
        <v>305</v>
      </c>
      <c r="D75" t="s">
        <v>17</v>
      </c>
      <c r="E75" t="s">
        <v>348</v>
      </c>
      <c r="F75" t="s">
        <v>353</v>
      </c>
      <c r="G75" t="s">
        <v>407</v>
      </c>
      <c r="H75" t="s">
        <v>404</v>
      </c>
      <c r="I75" t="s">
        <v>396</v>
      </c>
      <c r="J75" s="2" t="s">
        <v>395</v>
      </c>
      <c r="M75">
        <f>VLOOKUP(B75,'Unit Test'!A:J,10,FALSE)</f>
        <v>0</v>
      </c>
    </row>
    <row r="76" spans="1:13" ht="19.2" customHeight="1">
      <c r="A76" t="s">
        <v>80</v>
      </c>
      <c r="B76" t="s">
        <v>193</v>
      </c>
      <c r="C76" t="s">
        <v>306</v>
      </c>
      <c r="D76" t="s">
        <v>19</v>
      </c>
      <c r="E76" t="s">
        <v>346</v>
      </c>
      <c r="F76" t="s">
        <v>352</v>
      </c>
      <c r="G76" t="s">
        <v>407</v>
      </c>
      <c r="H76" t="s">
        <v>404</v>
      </c>
      <c r="I76" t="s">
        <v>375</v>
      </c>
      <c r="M76">
        <f>VLOOKUP(B76,'Unit Test'!A:J,10,FALSE)</f>
        <v>0</v>
      </c>
    </row>
    <row r="77" spans="1:13" ht="19.2"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2"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2"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2" customHeight="1">
      <c r="A80" t="s">
        <v>84</v>
      </c>
      <c r="B80" t="s">
        <v>197</v>
      </c>
      <c r="C80" t="s">
        <v>310</v>
      </c>
      <c r="D80" t="s">
        <v>17</v>
      </c>
      <c r="E80" t="s">
        <v>347</v>
      </c>
      <c r="F80" t="s">
        <v>353</v>
      </c>
      <c r="G80" t="s">
        <v>407</v>
      </c>
      <c r="H80" t="s">
        <v>404</v>
      </c>
      <c r="I80" t="s">
        <v>388</v>
      </c>
      <c r="K80" s="2" t="s">
        <v>802</v>
      </c>
      <c r="M80">
        <f>VLOOKUP(B80,'Unit Test'!A:J,10,FALSE)</f>
        <v>0</v>
      </c>
    </row>
    <row r="81" spans="1:13" ht="19.2" customHeight="1">
      <c r="A81" t="s">
        <v>100</v>
      </c>
      <c r="B81" t="s">
        <v>213</v>
      </c>
      <c r="C81" t="s">
        <v>326</v>
      </c>
      <c r="D81" t="s">
        <v>19</v>
      </c>
      <c r="E81" t="s">
        <v>349</v>
      </c>
      <c r="F81" t="s">
        <v>353</v>
      </c>
      <c r="G81" t="s">
        <v>407</v>
      </c>
      <c r="H81" t="s">
        <v>404</v>
      </c>
      <c r="I81" t="s">
        <v>381</v>
      </c>
      <c r="K81" s="2" t="s">
        <v>773</v>
      </c>
      <c r="M81">
        <f>VLOOKUP(B81,'Unit Test'!A:J,10,FALSE)</f>
        <v>0</v>
      </c>
    </row>
    <row r="82" spans="1:13" ht="19.2" customHeight="1">
      <c r="A82" t="s">
        <v>101</v>
      </c>
      <c r="B82" t="s">
        <v>214</v>
      </c>
      <c r="C82" t="s">
        <v>327</v>
      </c>
      <c r="D82" t="s">
        <v>15</v>
      </c>
      <c r="E82" t="s">
        <v>348</v>
      </c>
      <c r="F82" t="s">
        <v>353</v>
      </c>
      <c r="G82" t="s">
        <v>407</v>
      </c>
      <c r="H82" t="s">
        <v>404</v>
      </c>
      <c r="I82" t="s">
        <v>381</v>
      </c>
      <c r="M82">
        <f>VLOOKUP(B82,'Unit Test'!A:J,10,FALSE)</f>
        <v>0</v>
      </c>
    </row>
    <row r="83" spans="1:13" ht="19.2"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2" customHeight="1">
      <c r="A84" t="s">
        <v>102</v>
      </c>
      <c r="B84" t="s">
        <v>215</v>
      </c>
      <c r="C84" t="s">
        <v>328</v>
      </c>
      <c r="D84" t="s">
        <v>19</v>
      </c>
      <c r="E84" t="s">
        <v>349</v>
      </c>
      <c r="F84" t="s">
        <v>353</v>
      </c>
      <c r="G84" t="s">
        <v>407</v>
      </c>
      <c r="H84" t="s">
        <v>404</v>
      </c>
      <c r="I84" t="s">
        <v>381</v>
      </c>
      <c r="M84">
        <f>VLOOKUP(B84,'Unit Test'!A:J,10,FALSE)</f>
        <v>0</v>
      </c>
    </row>
    <row r="85" spans="1:13" ht="19.2" customHeight="1">
      <c r="A85" t="s">
        <v>89</v>
      </c>
      <c r="B85" t="s">
        <v>202</v>
      </c>
      <c r="C85" t="s">
        <v>315</v>
      </c>
      <c r="D85" t="s">
        <v>17</v>
      </c>
      <c r="E85" t="s">
        <v>348</v>
      </c>
      <c r="F85" t="s">
        <v>353</v>
      </c>
      <c r="G85" t="s">
        <v>407</v>
      </c>
      <c r="H85" t="s">
        <v>404</v>
      </c>
      <c r="I85" t="s">
        <v>389</v>
      </c>
      <c r="K85" t="s">
        <v>794</v>
      </c>
      <c r="M85" t="str">
        <f>VLOOKUP(B85,'Unit Test'!A:J,10,FALSE)</f>
        <v>CODEX</v>
      </c>
    </row>
    <row r="86" spans="1:13" ht="19.2"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2" customHeight="1">
      <c r="A87" t="s">
        <v>91</v>
      </c>
      <c r="B87" t="s">
        <v>204</v>
      </c>
      <c r="C87" t="s">
        <v>317</v>
      </c>
      <c r="D87" t="s">
        <v>19</v>
      </c>
      <c r="E87" t="s">
        <v>349</v>
      </c>
      <c r="F87" t="s">
        <v>353</v>
      </c>
      <c r="G87" t="s">
        <v>407</v>
      </c>
      <c r="H87" t="s">
        <v>404</v>
      </c>
      <c r="I87" t="s">
        <v>381</v>
      </c>
      <c r="M87">
        <f>VLOOKUP(B87,'Unit Test'!A:J,10,FALSE)</f>
        <v>0</v>
      </c>
    </row>
    <row r="88" spans="1:13" ht="19.2" customHeight="1">
      <c r="A88" t="s">
        <v>93</v>
      </c>
      <c r="B88" t="s">
        <v>206</v>
      </c>
      <c r="C88" t="s">
        <v>319</v>
      </c>
      <c r="D88" t="s">
        <v>13</v>
      </c>
      <c r="E88" t="s">
        <v>349</v>
      </c>
      <c r="F88" t="s">
        <v>354</v>
      </c>
      <c r="G88" t="s">
        <v>407</v>
      </c>
      <c r="H88" t="s">
        <v>404</v>
      </c>
      <c r="I88" t="s">
        <v>381</v>
      </c>
      <c r="M88">
        <f>VLOOKUP(B88,'Unit Test'!A:J,10,FALSE)</f>
        <v>0</v>
      </c>
    </row>
    <row r="89" spans="1:13" ht="19.2" customHeight="1">
      <c r="A89" t="s">
        <v>92</v>
      </c>
      <c r="B89" t="s">
        <v>205</v>
      </c>
      <c r="C89" t="s">
        <v>318</v>
      </c>
      <c r="D89" t="s">
        <v>15</v>
      </c>
      <c r="E89" t="s">
        <v>348</v>
      </c>
      <c r="F89" t="s">
        <v>353</v>
      </c>
      <c r="G89" t="s">
        <v>407</v>
      </c>
      <c r="H89" t="s">
        <v>404</v>
      </c>
      <c r="I89" t="s">
        <v>381</v>
      </c>
      <c r="M89">
        <f>VLOOKUP(B89,'Unit Test'!A:J,10,FALSE)</f>
        <v>0</v>
      </c>
    </row>
    <row r="90" spans="1:13" ht="19.2"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2" customHeight="1">
      <c r="A91" t="s">
        <v>95</v>
      </c>
      <c r="B91" t="s">
        <v>208</v>
      </c>
      <c r="C91" t="s">
        <v>321</v>
      </c>
      <c r="D91" t="s">
        <v>17</v>
      </c>
      <c r="E91" t="s">
        <v>348</v>
      </c>
      <c r="F91" t="s">
        <v>353</v>
      </c>
      <c r="G91" t="s">
        <v>407</v>
      </c>
      <c r="H91" t="s">
        <v>404</v>
      </c>
      <c r="I91" t="s">
        <v>383</v>
      </c>
      <c r="K91" s="2" t="s">
        <v>798</v>
      </c>
      <c r="M91" t="str">
        <f>VLOOKUP(B91,'Unit Test'!A:J,10,FALSE)</f>
        <v>codex</v>
      </c>
    </row>
    <row r="92" spans="1:13" ht="19.2" customHeight="1">
      <c r="A92" t="s">
        <v>96</v>
      </c>
      <c r="B92" t="s">
        <v>209</v>
      </c>
      <c r="C92" t="s">
        <v>322</v>
      </c>
      <c r="D92" t="s">
        <v>17</v>
      </c>
      <c r="E92" t="s">
        <v>348</v>
      </c>
      <c r="F92" t="s">
        <v>353</v>
      </c>
      <c r="G92" t="s">
        <v>407</v>
      </c>
      <c r="H92" t="s">
        <v>404</v>
      </c>
      <c r="I92" t="s">
        <v>383</v>
      </c>
      <c r="K92" s="2" t="s">
        <v>799</v>
      </c>
      <c r="M92" t="str">
        <f>VLOOKUP(B92,'Unit Test'!A:J,10,FALSE)</f>
        <v>codex</v>
      </c>
    </row>
    <row r="93" spans="1:13" ht="19.2" customHeight="1">
      <c r="A93" t="s">
        <v>97</v>
      </c>
      <c r="B93" t="s">
        <v>210</v>
      </c>
      <c r="C93" t="s">
        <v>323</v>
      </c>
      <c r="D93" t="s">
        <v>15</v>
      </c>
      <c r="E93" t="s">
        <v>348</v>
      </c>
      <c r="F93" t="s">
        <v>353</v>
      </c>
      <c r="G93" t="s">
        <v>407</v>
      </c>
      <c r="H93" t="s">
        <v>404</v>
      </c>
      <c r="I93" t="s">
        <v>383</v>
      </c>
      <c r="M93">
        <f>VLOOKUP(B93,'Unit Test'!A:J,10,FALSE)</f>
        <v>0</v>
      </c>
    </row>
    <row r="94" spans="1:13" ht="19.2" customHeight="1">
      <c r="A94" t="s">
        <v>98</v>
      </c>
      <c r="B94" t="s">
        <v>211</v>
      </c>
      <c r="C94" t="s">
        <v>324</v>
      </c>
      <c r="D94" t="s">
        <v>17</v>
      </c>
      <c r="E94" t="s">
        <v>347</v>
      </c>
      <c r="F94" t="s">
        <v>352</v>
      </c>
      <c r="G94" t="s">
        <v>407</v>
      </c>
      <c r="H94" t="s">
        <v>404</v>
      </c>
      <c r="I94" t="s">
        <v>375</v>
      </c>
      <c r="K94" t="s">
        <v>417</v>
      </c>
      <c r="M94">
        <f>VLOOKUP(B94,'Unit Test'!A:J,10,FALSE)</f>
        <v>0</v>
      </c>
    </row>
    <row r="95" spans="1:13" ht="19.2"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2" customHeight="1">
      <c r="A96" t="s">
        <v>90</v>
      </c>
      <c r="B96" t="s">
        <v>203</v>
      </c>
      <c r="C96" t="s">
        <v>316</v>
      </c>
      <c r="D96" t="s">
        <v>33</v>
      </c>
      <c r="E96" t="s">
        <v>348</v>
      </c>
      <c r="F96" t="s">
        <v>353</v>
      </c>
      <c r="G96" t="s">
        <v>407</v>
      </c>
      <c r="H96" t="s">
        <v>404</v>
      </c>
      <c r="I96" t="s">
        <v>381</v>
      </c>
      <c r="M96">
        <f>VLOOKUP(B96,'Unit Test'!A:J,10,FALSE)</f>
        <v>0</v>
      </c>
    </row>
    <row r="97" spans="1:13" ht="19.2"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2" customHeight="1">
      <c r="A98" t="s">
        <v>86</v>
      </c>
      <c r="B98" t="s">
        <v>199</v>
      </c>
      <c r="C98" t="s">
        <v>312</v>
      </c>
      <c r="D98" t="s">
        <v>21</v>
      </c>
      <c r="E98" t="s">
        <v>347</v>
      </c>
      <c r="F98" t="s">
        <v>353</v>
      </c>
      <c r="G98" t="s">
        <v>407</v>
      </c>
      <c r="H98" t="s">
        <v>404</v>
      </c>
      <c r="I98" t="s">
        <v>381</v>
      </c>
      <c r="L98" t="s">
        <v>849</v>
      </c>
      <c r="M98" t="str">
        <f>VLOOKUP(B98,'Unit Test'!A:J,10,FALSE)</f>
        <v>CODEX</v>
      </c>
    </row>
    <row r="99" spans="1:13" ht="19.2" customHeight="1">
      <c r="A99" t="s">
        <v>103</v>
      </c>
      <c r="B99" t="s">
        <v>216</v>
      </c>
      <c r="C99" t="s">
        <v>329</v>
      </c>
      <c r="D99" t="s">
        <v>17</v>
      </c>
      <c r="E99" t="s">
        <v>347</v>
      </c>
      <c r="F99" t="s">
        <v>352</v>
      </c>
      <c r="G99" t="s">
        <v>407</v>
      </c>
      <c r="H99" t="s">
        <v>404</v>
      </c>
      <c r="I99" t="s">
        <v>363</v>
      </c>
      <c r="K99" t="s">
        <v>766</v>
      </c>
      <c r="M99">
        <f>VLOOKUP(B99,'Unit Test'!A:J,10,FALSE)</f>
        <v>0</v>
      </c>
    </row>
    <row r="100" spans="1:13" ht="19.2" customHeight="1">
      <c r="A100" t="s">
        <v>104</v>
      </c>
      <c r="B100" t="s">
        <v>217</v>
      </c>
      <c r="C100" t="s">
        <v>330</v>
      </c>
      <c r="D100" t="s">
        <v>15</v>
      </c>
      <c r="E100" t="s">
        <v>348</v>
      </c>
      <c r="F100" t="s">
        <v>353</v>
      </c>
      <c r="G100" t="s">
        <v>407</v>
      </c>
      <c r="H100" t="s">
        <v>404</v>
      </c>
      <c r="I100" t="s">
        <v>397</v>
      </c>
      <c r="J100" s="2" t="s">
        <v>398</v>
      </c>
      <c r="M100">
        <f>VLOOKUP(B100,'Unit Test'!A:J,10,FALSE)</f>
        <v>0</v>
      </c>
    </row>
    <row r="101" spans="1:13" ht="19.2" customHeight="1">
      <c r="A101" t="s">
        <v>105</v>
      </c>
      <c r="B101" t="s">
        <v>218</v>
      </c>
      <c r="C101" t="s">
        <v>331</v>
      </c>
      <c r="D101" t="s">
        <v>17</v>
      </c>
      <c r="E101" t="s">
        <v>347</v>
      </c>
      <c r="F101" t="s">
        <v>352</v>
      </c>
      <c r="G101" t="s">
        <v>407</v>
      </c>
      <c r="H101" t="s">
        <v>404</v>
      </c>
      <c r="I101" t="s">
        <v>375</v>
      </c>
      <c r="M101">
        <f>VLOOKUP(B101,'Unit Test'!A:J,10,FALSE)</f>
        <v>0</v>
      </c>
    </row>
    <row r="102" spans="1:13" ht="19.2" customHeight="1">
      <c r="A102" t="s">
        <v>106</v>
      </c>
      <c r="B102" t="s">
        <v>219</v>
      </c>
      <c r="C102" t="s">
        <v>332</v>
      </c>
      <c r="D102" t="s">
        <v>13</v>
      </c>
      <c r="E102" t="s">
        <v>349</v>
      </c>
      <c r="F102" t="s">
        <v>354</v>
      </c>
      <c r="G102" t="s">
        <v>407</v>
      </c>
      <c r="H102" t="s">
        <v>404</v>
      </c>
      <c r="I102" t="s">
        <v>397</v>
      </c>
      <c r="J102" s="2" t="s">
        <v>398</v>
      </c>
      <c r="M102">
        <f>VLOOKUP(B102,'Unit Test'!A:J,10,FALSE)</f>
        <v>0</v>
      </c>
    </row>
    <row r="103" spans="1:13" ht="19.2"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2"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2"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2"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2"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2"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2"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2"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2"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2" customHeight="1">
      <c r="A112" t="s">
        <v>116</v>
      </c>
      <c r="B112" t="s">
        <v>229</v>
      </c>
      <c r="C112" t="s">
        <v>342</v>
      </c>
      <c r="D112" t="s">
        <v>13</v>
      </c>
      <c r="E112" t="s">
        <v>350</v>
      </c>
      <c r="F112" t="s">
        <v>353</v>
      </c>
      <c r="G112" t="s">
        <v>407</v>
      </c>
      <c r="H112" t="s">
        <v>404</v>
      </c>
      <c r="I112" t="s">
        <v>393</v>
      </c>
      <c r="M112">
        <f>VLOOKUP(B112,'Unit Test'!A:J,10,FALSE)</f>
        <v>0</v>
      </c>
    </row>
    <row r="113" spans="1:13" ht="19.2" customHeight="1">
      <c r="A113" t="s">
        <v>117</v>
      </c>
      <c r="B113" t="s">
        <v>230</v>
      </c>
      <c r="C113" t="s">
        <v>343</v>
      </c>
      <c r="D113" t="s">
        <v>13</v>
      </c>
      <c r="E113" t="s">
        <v>350</v>
      </c>
      <c r="F113" t="s">
        <v>353</v>
      </c>
      <c r="G113" t="s">
        <v>407</v>
      </c>
      <c r="H113" t="s">
        <v>404</v>
      </c>
      <c r="I113" t="s">
        <v>393</v>
      </c>
      <c r="M113">
        <f>VLOOKUP(B113,'Unit Test'!A:J,10,FALSE)</f>
        <v>0</v>
      </c>
    </row>
    <row r="114" spans="1:13" ht="19.2"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4.4"/>
  <cols>
    <col min="2" max="2" width="112.6640625" customWidth="1"/>
  </cols>
  <sheetData>
    <row r="4" spans="1:2" ht="244.8">
      <c r="A4" t="s">
        <v>400</v>
      </c>
      <c r="B4" s="2" t="s">
        <v>367</v>
      </c>
    </row>
    <row r="10" spans="1:2" ht="409.6">
      <c r="A10" t="s">
        <v>401</v>
      </c>
      <c r="B10" s="2" t="s">
        <v>399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4.4"/>
  <cols>
    <col min="1" max="1" width="28.6640625" customWidth="1"/>
    <col min="2" max="2" width="29.88671875" customWidth="1"/>
    <col min="3" max="3" width="29.109375" hidden="1" customWidth="1"/>
    <col min="4" max="4" width="11.5546875" hidden="1" customWidth="1"/>
    <col min="5" max="5" width="17.6640625" hidden="1" customWidth="1"/>
    <col min="6" max="6" width="50.5546875" customWidth="1"/>
    <col min="7" max="8" width="11.5546875" hidden="1" customWidth="1"/>
    <col min="9" max="9" width="39.5546875" hidden="1" customWidth="1"/>
    <col min="10" max="10" width="39.5546875" customWidth="1"/>
    <col min="11" max="11" width="18.5546875" bestFit="1" customWidth="1"/>
    <col min="17" max="17" width="18.5546875" bestFit="1" customWidth="1"/>
  </cols>
  <sheetData>
    <row r="1" spans="1:11" ht="16.2" thickBot="1">
      <c r="A1" s="4" t="s">
        <v>760</v>
      </c>
      <c r="B1" s="4" t="s">
        <v>418</v>
      </c>
      <c r="C1" s="4" t="s">
        <v>419</v>
      </c>
      <c r="D1" s="4"/>
      <c r="E1" s="4"/>
      <c r="F1" s="5" t="s">
        <v>761</v>
      </c>
      <c r="G1" s="11" t="s">
        <v>770</v>
      </c>
      <c r="H1" s="11" t="s">
        <v>402</v>
      </c>
      <c r="I1" s="11" t="s">
        <v>775</v>
      </c>
      <c r="J1" s="11" t="s">
        <v>848</v>
      </c>
      <c r="K1" s="11" t="s">
        <v>848</v>
      </c>
    </row>
    <row r="2" spans="1:11" ht="31.2" thickBot="1">
      <c r="A2" s="6" t="s">
        <v>119</v>
      </c>
      <c r="B2" s="6" t="s">
        <v>420</v>
      </c>
      <c r="C2" s="6" t="s">
        <v>421</v>
      </c>
      <c r="D2" s="6"/>
      <c r="E2" s="7"/>
      <c r="F2" s="8" t="s">
        <v>422</v>
      </c>
      <c r="G2" s="12" t="s">
        <v>771</v>
      </c>
      <c r="H2" s="12" t="s">
        <v>407</v>
      </c>
      <c r="I2" t="s">
        <v>774</v>
      </c>
      <c r="J2" t="s">
        <v>404</v>
      </c>
      <c r="K2" t="s">
        <v>404</v>
      </c>
    </row>
    <row r="3" spans="1:11" ht="31.2" thickBot="1">
      <c r="A3" s="6" t="s">
        <v>119</v>
      </c>
      <c r="B3" s="6" t="s">
        <v>420</v>
      </c>
      <c r="C3" s="6" t="s">
        <v>423</v>
      </c>
      <c r="D3" s="6"/>
      <c r="E3" s="7"/>
      <c r="F3" s="8" t="s">
        <v>422</v>
      </c>
      <c r="G3" s="12" t="s">
        <v>771</v>
      </c>
      <c r="H3" s="12" t="s">
        <v>407</v>
      </c>
      <c r="I3" t="s">
        <v>774</v>
      </c>
      <c r="J3" t="s">
        <v>404</v>
      </c>
    </row>
    <row r="4" spans="1:11" ht="31.2" thickBot="1">
      <c r="A4" s="6" t="s">
        <v>119</v>
      </c>
      <c r="B4" s="6" t="s">
        <v>420</v>
      </c>
      <c r="C4" s="6" t="s">
        <v>424</v>
      </c>
      <c r="D4" s="6"/>
      <c r="E4" s="7"/>
      <c r="F4" s="8" t="s">
        <v>422</v>
      </c>
      <c r="G4" s="12" t="s">
        <v>771</v>
      </c>
      <c r="H4" s="12" t="s">
        <v>407</v>
      </c>
      <c r="I4" t="s">
        <v>774</v>
      </c>
      <c r="J4" t="s">
        <v>404</v>
      </c>
    </row>
    <row r="5" spans="1:11" ht="46.2" thickBot="1">
      <c r="A5" s="6" t="s">
        <v>119</v>
      </c>
      <c r="B5" s="6" t="s">
        <v>420</v>
      </c>
      <c r="C5" s="6" t="s">
        <v>425</v>
      </c>
      <c r="D5" s="6"/>
      <c r="E5" s="7"/>
      <c r="F5" s="8" t="s">
        <v>422</v>
      </c>
      <c r="G5" s="12" t="s">
        <v>771</v>
      </c>
      <c r="H5" s="12" t="s">
        <v>407</v>
      </c>
      <c r="I5" t="s">
        <v>774</v>
      </c>
      <c r="J5" t="s">
        <v>404</v>
      </c>
    </row>
    <row r="6" spans="1:11" ht="31.2" thickBot="1">
      <c r="A6" s="6" t="s">
        <v>119</v>
      </c>
      <c r="B6" s="6" t="s">
        <v>420</v>
      </c>
      <c r="C6" s="6" t="s">
        <v>426</v>
      </c>
      <c r="D6" s="6"/>
      <c r="E6" s="7"/>
      <c r="F6" s="8" t="s">
        <v>422</v>
      </c>
      <c r="G6" s="12" t="s">
        <v>771</v>
      </c>
      <c r="H6" s="12" t="s">
        <v>407</v>
      </c>
      <c r="I6" t="s">
        <v>774</v>
      </c>
      <c r="J6" t="s">
        <v>404</v>
      </c>
    </row>
    <row r="7" spans="1:11" ht="31.2" thickBot="1">
      <c r="A7" s="6" t="s">
        <v>119</v>
      </c>
      <c r="B7" s="6" t="s">
        <v>420</v>
      </c>
      <c r="C7" s="6" t="s">
        <v>427</v>
      </c>
      <c r="D7" s="6"/>
      <c r="E7" s="7"/>
      <c r="F7" s="8" t="s">
        <v>422</v>
      </c>
      <c r="G7" s="12" t="s">
        <v>771</v>
      </c>
      <c r="H7" s="12" t="s">
        <v>407</v>
      </c>
      <c r="I7" t="s">
        <v>774</v>
      </c>
      <c r="J7" t="s">
        <v>404</v>
      </c>
    </row>
    <row r="8" spans="1:11" ht="31.2" thickBot="1">
      <c r="A8" s="6" t="s">
        <v>119</v>
      </c>
      <c r="B8" s="6" t="s">
        <v>420</v>
      </c>
      <c r="C8" s="6" t="s">
        <v>428</v>
      </c>
      <c r="D8" s="6"/>
      <c r="E8" s="7"/>
      <c r="F8" s="8" t="s">
        <v>422</v>
      </c>
      <c r="G8" s="12" t="s">
        <v>771</v>
      </c>
      <c r="H8" s="12" t="s">
        <v>407</v>
      </c>
      <c r="I8" t="s">
        <v>774</v>
      </c>
      <c r="J8" t="s">
        <v>404</v>
      </c>
    </row>
    <row r="9" spans="1:11" ht="31.2" thickBot="1">
      <c r="A9" s="6" t="s">
        <v>119</v>
      </c>
      <c r="B9" s="6" t="s">
        <v>420</v>
      </c>
      <c r="C9" s="6" t="s">
        <v>429</v>
      </c>
      <c r="D9" s="6"/>
      <c r="E9" s="7"/>
      <c r="F9" s="8" t="s">
        <v>422</v>
      </c>
      <c r="G9" s="12" t="s">
        <v>771</v>
      </c>
      <c r="H9" s="12" t="s">
        <v>407</v>
      </c>
      <c r="I9" t="s">
        <v>774</v>
      </c>
      <c r="J9" t="s">
        <v>404</v>
      </c>
    </row>
    <row r="10" spans="1:11" ht="31.2" thickBot="1">
      <c r="A10" s="6" t="s">
        <v>119</v>
      </c>
      <c r="B10" s="6" t="s">
        <v>420</v>
      </c>
      <c r="C10" s="6" t="s">
        <v>430</v>
      </c>
      <c r="D10" s="6"/>
      <c r="E10" s="7"/>
      <c r="F10" s="8" t="s">
        <v>422</v>
      </c>
      <c r="G10" s="12" t="s">
        <v>771</v>
      </c>
      <c r="H10" s="12" t="s">
        <v>407</v>
      </c>
      <c r="I10" t="s">
        <v>774</v>
      </c>
      <c r="J10" t="s">
        <v>404</v>
      </c>
    </row>
    <row r="11" spans="1:11" ht="31.2" thickBot="1">
      <c r="A11" s="6" t="s">
        <v>119</v>
      </c>
      <c r="B11" s="6" t="s">
        <v>420</v>
      </c>
      <c r="C11" s="6" t="s">
        <v>431</v>
      </c>
      <c r="D11" s="6"/>
      <c r="E11" s="7"/>
      <c r="F11" s="8" t="s">
        <v>422</v>
      </c>
      <c r="G11" s="12" t="s">
        <v>771</v>
      </c>
      <c r="H11" s="12" t="s">
        <v>407</v>
      </c>
      <c r="I11" t="s">
        <v>774</v>
      </c>
      <c r="J11" t="s">
        <v>404</v>
      </c>
    </row>
    <row r="12" spans="1:11" ht="31.2" thickBot="1">
      <c r="A12" s="6" t="s">
        <v>119</v>
      </c>
      <c r="B12" s="6" t="s">
        <v>420</v>
      </c>
      <c r="C12" s="6" t="s">
        <v>432</v>
      </c>
      <c r="D12" s="6"/>
      <c r="E12" s="7"/>
      <c r="F12" s="8" t="s">
        <v>422</v>
      </c>
      <c r="G12" s="12" t="s">
        <v>771</v>
      </c>
      <c r="H12" s="12" t="s">
        <v>407</v>
      </c>
      <c r="I12" t="s">
        <v>774</v>
      </c>
      <c r="J12" t="s">
        <v>404</v>
      </c>
    </row>
    <row r="13" spans="1:11" ht="31.2" thickBot="1">
      <c r="A13" s="6" t="s">
        <v>119</v>
      </c>
      <c r="B13" s="6" t="s">
        <v>420</v>
      </c>
      <c r="C13" s="6" t="s">
        <v>433</v>
      </c>
      <c r="D13" s="6"/>
      <c r="E13" s="7"/>
      <c r="F13" s="8" t="s">
        <v>422</v>
      </c>
      <c r="G13" s="12" t="s">
        <v>771</v>
      </c>
      <c r="H13" s="12" t="s">
        <v>407</v>
      </c>
      <c r="I13" t="s">
        <v>774</v>
      </c>
      <c r="J13" t="s">
        <v>404</v>
      </c>
    </row>
    <row r="14" spans="1:11" ht="31.2" thickBot="1">
      <c r="A14" s="6" t="s">
        <v>119</v>
      </c>
      <c r="B14" s="6" t="s">
        <v>420</v>
      </c>
      <c r="C14" s="6" t="s">
        <v>434</v>
      </c>
      <c r="D14" s="6"/>
      <c r="E14" s="7"/>
      <c r="F14" s="8" t="s">
        <v>422</v>
      </c>
      <c r="G14" s="12" t="s">
        <v>771</v>
      </c>
      <c r="H14" s="12" t="s">
        <v>407</v>
      </c>
      <c r="I14" t="s">
        <v>774</v>
      </c>
      <c r="J14" t="s">
        <v>404</v>
      </c>
    </row>
    <row r="15" spans="1:11" ht="31.2" thickBot="1">
      <c r="A15" s="6" t="s">
        <v>119</v>
      </c>
      <c r="B15" s="6" t="s">
        <v>420</v>
      </c>
      <c r="C15" s="6" t="s">
        <v>435</v>
      </c>
      <c r="D15" s="6"/>
      <c r="E15" s="7"/>
      <c r="F15" s="8" t="s">
        <v>422</v>
      </c>
      <c r="G15" s="12" t="s">
        <v>771</v>
      </c>
      <c r="H15" s="12" t="s">
        <v>407</v>
      </c>
      <c r="I15" t="s">
        <v>774</v>
      </c>
      <c r="J15" t="s">
        <v>404</v>
      </c>
    </row>
    <row r="16" spans="1:11" ht="31.2" thickBot="1">
      <c r="A16" s="6" t="s">
        <v>119</v>
      </c>
      <c r="B16" s="6" t="s">
        <v>420</v>
      </c>
      <c r="C16" s="6" t="s">
        <v>436</v>
      </c>
      <c r="D16" s="6"/>
      <c r="E16" s="7"/>
      <c r="F16" s="8" t="s">
        <v>422</v>
      </c>
      <c r="G16" s="12" t="s">
        <v>771</v>
      </c>
      <c r="H16" s="12" t="s">
        <v>407</v>
      </c>
      <c r="I16" t="s">
        <v>774</v>
      </c>
      <c r="J16" t="s">
        <v>404</v>
      </c>
    </row>
    <row r="17" spans="1:17" ht="31.2" thickBot="1">
      <c r="A17" s="6" t="s">
        <v>119</v>
      </c>
      <c r="B17" s="6" t="s">
        <v>420</v>
      </c>
      <c r="C17" s="6" t="s">
        <v>437</v>
      </c>
      <c r="D17" s="6"/>
      <c r="E17" s="7"/>
      <c r="F17" s="8" t="s">
        <v>422</v>
      </c>
      <c r="G17" s="12" t="s">
        <v>771</v>
      </c>
      <c r="H17" s="12" t="s">
        <v>407</v>
      </c>
      <c r="I17" t="s">
        <v>774</v>
      </c>
      <c r="J17" t="s">
        <v>404</v>
      </c>
    </row>
    <row r="18" spans="1:17" ht="31.2" thickBot="1">
      <c r="A18" s="6" t="s">
        <v>119</v>
      </c>
      <c r="B18" s="6" t="s">
        <v>420</v>
      </c>
      <c r="C18" s="6" t="s">
        <v>438</v>
      </c>
      <c r="D18" s="6"/>
      <c r="E18" s="7"/>
      <c r="F18" s="8" t="s">
        <v>422</v>
      </c>
      <c r="G18" s="12" t="s">
        <v>771</v>
      </c>
      <c r="H18" s="12" t="s">
        <v>407</v>
      </c>
      <c r="I18" t="s">
        <v>774</v>
      </c>
      <c r="J18" t="s">
        <v>404</v>
      </c>
    </row>
    <row r="19" spans="1:17" ht="31.2" thickBot="1">
      <c r="A19" s="6" t="s">
        <v>119</v>
      </c>
      <c r="B19" s="6" t="s">
        <v>420</v>
      </c>
      <c r="C19" s="6" t="s">
        <v>439</v>
      </c>
      <c r="D19" s="6"/>
      <c r="E19" s="7"/>
      <c r="F19" s="8" t="s">
        <v>422</v>
      </c>
      <c r="G19" s="12" t="s">
        <v>771</v>
      </c>
      <c r="H19" s="12" t="s">
        <v>407</v>
      </c>
      <c r="I19" t="s">
        <v>774</v>
      </c>
      <c r="J19" t="s">
        <v>404</v>
      </c>
    </row>
    <row r="20" spans="1:17" ht="31.2" thickBot="1">
      <c r="A20" s="6" t="s">
        <v>119</v>
      </c>
      <c r="B20" s="6" t="s">
        <v>420</v>
      </c>
      <c r="C20" s="6" t="s">
        <v>440</v>
      </c>
      <c r="D20" s="6"/>
      <c r="E20" s="7"/>
      <c r="F20" s="8" t="s">
        <v>422</v>
      </c>
      <c r="G20" s="12" t="s">
        <v>771</v>
      </c>
      <c r="H20" s="12" t="s">
        <v>407</v>
      </c>
      <c r="I20" t="s">
        <v>774</v>
      </c>
      <c r="J20" t="s">
        <v>404</v>
      </c>
    </row>
    <row r="21" spans="1:17" ht="31.2" thickBot="1">
      <c r="A21" s="6" t="s">
        <v>119</v>
      </c>
      <c r="B21" s="6" t="s">
        <v>420</v>
      </c>
      <c r="C21" s="6" t="s">
        <v>441</v>
      </c>
      <c r="D21" s="6"/>
      <c r="E21" s="7"/>
      <c r="F21" s="8" t="s">
        <v>422</v>
      </c>
      <c r="G21" s="12" t="s">
        <v>771</v>
      </c>
      <c r="H21" s="12" t="s">
        <v>407</v>
      </c>
      <c r="I21" t="s">
        <v>774</v>
      </c>
      <c r="J21" t="s">
        <v>404</v>
      </c>
    </row>
    <row r="22" spans="1:17" ht="31.2" thickBot="1">
      <c r="A22" s="6" t="s">
        <v>119</v>
      </c>
      <c r="B22" s="6" t="s">
        <v>420</v>
      </c>
      <c r="C22" s="6" t="s">
        <v>442</v>
      </c>
      <c r="D22" s="6"/>
      <c r="E22" s="7"/>
      <c r="F22" s="8" t="s">
        <v>422</v>
      </c>
      <c r="G22" s="12" t="s">
        <v>771</v>
      </c>
      <c r="H22" s="12" t="s">
        <v>407</v>
      </c>
      <c r="I22" t="s">
        <v>774</v>
      </c>
      <c r="J22" t="s">
        <v>404</v>
      </c>
    </row>
    <row r="23" spans="1:17" ht="31.2" thickBot="1">
      <c r="A23" s="6" t="s">
        <v>119</v>
      </c>
      <c r="B23" s="6" t="s">
        <v>420</v>
      </c>
      <c r="C23" s="6" t="s">
        <v>443</v>
      </c>
      <c r="D23" s="6"/>
      <c r="E23" s="7"/>
      <c r="F23" s="8" t="s">
        <v>422</v>
      </c>
      <c r="G23" s="12" t="s">
        <v>771</v>
      </c>
      <c r="H23" s="12" t="s">
        <v>407</v>
      </c>
      <c r="I23" t="s">
        <v>774</v>
      </c>
      <c r="J23" t="s">
        <v>404</v>
      </c>
    </row>
    <row r="24" spans="1:17" ht="31.2"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2"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2"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2"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2"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2"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2"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2"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2"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2"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2"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2"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2"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2"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2"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2"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2"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2"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2"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2"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2"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2"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2"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2"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2"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2"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2"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2"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2"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2"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2"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2"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2"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2"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2"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2"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2"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2"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2"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2"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2"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2"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2"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2"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2"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2"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2"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2"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2"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2"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2"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2"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2"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2"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2"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2"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2"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2"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2" thickBot="1">
      <c r="A82" s="6" t="s">
        <v>123</v>
      </c>
      <c r="B82" s="6" t="s">
        <v>420</v>
      </c>
      <c r="C82" s="6" t="s">
        <v>505</v>
      </c>
      <c r="D82" s="6"/>
      <c r="E82" s="7"/>
      <c r="F82" s="8" t="s">
        <v>479</v>
      </c>
      <c r="J82" t="s">
        <v>404</v>
      </c>
      <c r="K82" t="str">
        <f t="shared" si="0"/>
        <v>TS-UC-SEC-ANO-001test_edge_003_pii_in_html_escaped_text</v>
      </c>
    </row>
    <row r="83" spans="1:11" ht="31.2" thickBot="1">
      <c r="A83" s="6" t="s">
        <v>124</v>
      </c>
      <c r="B83" s="6" t="s">
        <v>420</v>
      </c>
      <c r="C83" s="6" t="s">
        <v>506</v>
      </c>
      <c r="D83" s="6"/>
      <c r="E83" s="7"/>
      <c r="F83" s="8" t="s">
        <v>507</v>
      </c>
      <c r="G83" s="13" t="s">
        <v>771</v>
      </c>
      <c r="H83" s="12" t="s">
        <v>407</v>
      </c>
      <c r="J83" t="s">
        <v>404</v>
      </c>
      <c r="K83" t="str">
        <f t="shared" si="0"/>
        <v>TS-UC-SEC-ANO-002test_001_redact_dni_to_redacted</v>
      </c>
    </row>
    <row r="84" spans="1:11" ht="31.2" thickBot="1">
      <c r="A84" s="6" t="s">
        <v>124</v>
      </c>
      <c r="B84" s="6" t="s">
        <v>420</v>
      </c>
      <c r="C84" s="6" t="s">
        <v>508</v>
      </c>
      <c r="D84" s="6"/>
      <c r="E84" s="7"/>
      <c r="F84" s="8" t="s">
        <v>507</v>
      </c>
      <c r="G84" s="13" t="s">
        <v>771</v>
      </c>
      <c r="H84" s="12" t="s">
        <v>407</v>
      </c>
      <c r="J84" t="s">
        <v>404</v>
      </c>
      <c r="K84" t="str">
        <f t="shared" si="0"/>
        <v>TS-UC-SEC-ANO-002test_002_redact_email_to_redacted</v>
      </c>
    </row>
    <row r="85" spans="1:11" ht="31.2" thickBot="1">
      <c r="A85" s="6" t="s">
        <v>124</v>
      </c>
      <c r="B85" s="6" t="s">
        <v>420</v>
      </c>
      <c r="C85" s="6" t="s">
        <v>509</v>
      </c>
      <c r="D85" s="6"/>
      <c r="E85" s="7"/>
      <c r="F85" s="8" t="s">
        <v>507</v>
      </c>
      <c r="G85" s="13" t="s">
        <v>771</v>
      </c>
      <c r="H85" s="12" t="s">
        <v>407</v>
      </c>
      <c r="J85" t="s">
        <v>404</v>
      </c>
      <c r="K85" t="str">
        <f t="shared" si="0"/>
        <v>TS-UC-SEC-ANO-002test_003_redact_phone_to_redacted</v>
      </c>
    </row>
    <row r="86" spans="1:11" ht="31.2"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2" thickBot="1">
      <c r="A87" s="6" t="s">
        <v>124</v>
      </c>
      <c r="B87" s="6" t="s">
        <v>420</v>
      </c>
      <c r="C87" s="6" t="s">
        <v>511</v>
      </c>
      <c r="D87" s="6"/>
      <c r="E87" s="7"/>
      <c r="F87" s="8" t="s">
        <v>507</v>
      </c>
      <c r="G87" s="13" t="s">
        <v>771</v>
      </c>
      <c r="H87" s="12" t="s">
        <v>407</v>
      </c>
      <c r="J87" t="s">
        <v>404</v>
      </c>
      <c r="K87" t="str">
        <f t="shared" si="0"/>
        <v>TS-UC-SEC-ANO-002test_005_hash_dni_deterministic</v>
      </c>
    </row>
    <row r="88" spans="1:11" ht="31.2"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2"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2"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2"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2"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31.2"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2"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2"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2"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2" thickBot="1">
      <c r="A97" s="6" t="s">
        <v>124</v>
      </c>
      <c r="B97" s="6" t="s">
        <v>420</v>
      </c>
      <c r="C97" s="6" t="s">
        <v>521</v>
      </c>
      <c r="D97" s="6"/>
      <c r="E97" s="7"/>
      <c r="F97" s="8" t="s">
        <v>507</v>
      </c>
      <c r="G97" s="13" t="s">
        <v>771</v>
      </c>
      <c r="H97" s="12" t="s">
        <v>407</v>
      </c>
      <c r="J97" t="s">
        <v>404</v>
      </c>
      <c r="K97" t="str">
        <f t="shared" si="1"/>
        <v>TS-UC-SEC-ANO-002test_015_strategy_mixed_per_type</v>
      </c>
    </row>
    <row r="98" spans="1:11" ht="31.2"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2" thickBot="1">
      <c r="A99" s="6" t="s">
        <v>124</v>
      </c>
      <c r="B99" s="6" t="s">
        <v>420</v>
      </c>
      <c r="C99" s="6" t="s">
        <v>523</v>
      </c>
      <c r="D99" s="6"/>
      <c r="E99" s="7"/>
      <c r="F99" s="8" t="s">
        <v>507</v>
      </c>
      <c r="G99" s="13" t="s">
        <v>771</v>
      </c>
      <c r="H99" s="12" t="s">
        <v>407</v>
      </c>
      <c r="J99" t="s">
        <v>404</v>
      </c>
      <c r="K99" t="str">
        <f t="shared" si="1"/>
        <v>TS-UC-SEC-ANO-002test_edge_001_nested_pii_in_pii</v>
      </c>
    </row>
    <row r="100" spans="1:11" ht="31.2"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2"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2"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2"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2" thickBot="1">
      <c r="A104" s="6" t="s">
        <v>127</v>
      </c>
      <c r="B104" s="6" t="s">
        <v>420</v>
      </c>
      <c r="C104" s="6" t="s">
        <v>526</v>
      </c>
      <c r="D104" s="6"/>
      <c r="E104" s="7"/>
      <c r="F104" s="8" t="s">
        <v>527</v>
      </c>
      <c r="G104" s="12" t="s">
        <v>771</v>
      </c>
      <c r="H104" s="12" t="s">
        <v>407</v>
      </c>
      <c r="K104" t="str">
        <f t="shared" si="1"/>
        <v>TS-UC-SEC-JWT-001Tests not individually listed</v>
      </c>
    </row>
    <row r="105" spans="1:11" ht="16.2" thickBot="1">
      <c r="A105" s="6" t="s">
        <v>128</v>
      </c>
      <c r="B105" s="6" t="s">
        <v>420</v>
      </c>
      <c r="C105" s="6" t="s">
        <v>526</v>
      </c>
      <c r="D105" s="6"/>
      <c r="E105" s="7"/>
      <c r="F105" s="8" t="s">
        <v>527</v>
      </c>
      <c r="G105" s="12" t="s">
        <v>771</v>
      </c>
      <c r="H105" s="12" t="s">
        <v>407</v>
      </c>
      <c r="K105" t="str">
        <f t="shared" si="1"/>
        <v>TS-UC-SEC-AUD-001Tests not individually listed</v>
      </c>
    </row>
    <row r="106" spans="1:11" ht="31.2"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2"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2"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2"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2"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2"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2"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2"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2"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2"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2"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2"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2"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2"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2"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2"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2"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2"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2"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2"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2"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2"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2"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2"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2"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2"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2"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2"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2"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2"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2"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2"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2"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2"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2"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2"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2"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2"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2" thickBot="1">
      <c r="A144" s="6" t="s">
        <v>132</v>
      </c>
      <c r="B144" s="6" t="s">
        <v>543</v>
      </c>
      <c r="C144" s="6" t="s">
        <v>526</v>
      </c>
      <c r="D144" s="6"/>
      <c r="E144" s="7"/>
      <c r="F144" s="9" t="s">
        <v>567</v>
      </c>
      <c r="G144" s="12" t="s">
        <v>771</v>
      </c>
      <c r="H144" s="12" t="s">
        <v>407</v>
      </c>
      <c r="K144" t="str">
        <f t="shared" si="1"/>
        <v>TS-UD-DOC-CLS-003Tests not individually listed</v>
      </c>
    </row>
    <row r="145" spans="1:11" ht="31.2"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2"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2"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2"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2"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2"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2"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2"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2"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2"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2"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2"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2"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2"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2"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2"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2"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2"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2"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2"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2"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16.2"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2"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2"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2"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2"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2"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2"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2"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2"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2" thickBot="1">
      <c r="A175" s="6" t="s">
        <v>135</v>
      </c>
      <c r="B175" s="6" t="s">
        <v>543</v>
      </c>
      <c r="C175" s="6" t="s">
        <v>526</v>
      </c>
      <c r="D175" s="6"/>
      <c r="E175" s="7"/>
      <c r="F175" s="5"/>
      <c r="J175" t="s">
        <v>404</v>
      </c>
      <c r="K175" t="str">
        <f t="shared" si="2"/>
        <v>TS-UD-DOC-ENT-003Tests not individually listed</v>
      </c>
    </row>
    <row r="176" spans="1:11" ht="16.2" thickBot="1">
      <c r="A176" s="6" t="s">
        <v>136</v>
      </c>
      <c r="B176" s="6" t="s">
        <v>543</v>
      </c>
      <c r="C176" s="6" t="s">
        <v>526</v>
      </c>
      <c r="D176" s="6"/>
      <c r="E176" s="7"/>
      <c r="F176" s="5"/>
      <c r="J176" t="s">
        <v>404</v>
      </c>
      <c r="K176" t="str">
        <f t="shared" si="2"/>
        <v>TS-UD-DOC-ENT-004Tests not individually listed</v>
      </c>
    </row>
    <row r="177" spans="1:11" ht="16.2" thickBot="1">
      <c r="A177" s="6" t="s">
        <v>137</v>
      </c>
      <c r="B177" s="6" t="s">
        <v>543</v>
      </c>
      <c r="C177" s="6" t="s">
        <v>526</v>
      </c>
      <c r="D177" s="6"/>
      <c r="E177" s="7"/>
      <c r="F177" s="5"/>
      <c r="J177" t="s">
        <v>404</v>
      </c>
      <c r="K177" t="str">
        <f t="shared" si="2"/>
        <v>TS-UD-DOC-DOC-001Tests not individually listed</v>
      </c>
    </row>
    <row r="178" spans="1:11" ht="16.2" thickBot="1">
      <c r="A178" s="6" t="s">
        <v>138</v>
      </c>
      <c r="B178" s="6" t="s">
        <v>543</v>
      </c>
      <c r="C178" s="6" t="s">
        <v>526</v>
      </c>
      <c r="D178" s="6"/>
      <c r="E178" s="7"/>
      <c r="F178" s="5"/>
      <c r="J178" t="s">
        <v>404</v>
      </c>
      <c r="K178" t="str">
        <f t="shared" si="2"/>
        <v>TS-UD-DOC-CNF-001Tests not individually listed</v>
      </c>
    </row>
    <row r="179" spans="1:11" ht="16.2" thickBot="1">
      <c r="A179" s="6" t="s">
        <v>139</v>
      </c>
      <c r="B179" s="6" t="s">
        <v>599</v>
      </c>
      <c r="C179" s="6" t="s">
        <v>526</v>
      </c>
      <c r="D179" s="6"/>
      <c r="E179" s="7"/>
      <c r="F179" s="5"/>
      <c r="J179" t="s">
        <v>404</v>
      </c>
      <c r="K179" t="str">
        <f t="shared" si="2"/>
        <v>TS-UD-COH-CAT-001Tests not individually listed</v>
      </c>
    </row>
    <row r="180" spans="1:11" ht="31.2"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2"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2"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2"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2"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2"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2"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2"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2"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2"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2"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2"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2"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2"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2"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2"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2"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2"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2"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2"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2"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2"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2"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2"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2"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2"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2"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2"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2"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2"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2"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2"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2"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2"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2"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2"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2"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2"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2"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2"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2"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2"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2"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2"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2"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2"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2"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2"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2"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2"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2" thickBot="1">
      <c r="A230" s="6" t="s">
        <v>143</v>
      </c>
      <c r="B230" s="6" t="s">
        <v>599</v>
      </c>
      <c r="C230" s="6" t="s">
        <v>526</v>
      </c>
      <c r="D230" s="6"/>
      <c r="E230" s="7"/>
      <c r="F230" s="5"/>
      <c r="J230" t="s">
        <v>404</v>
      </c>
      <c r="K230" t="str">
        <f t="shared" si="3"/>
        <v>TS-UD-COH-RUL-004Tests not individually listed</v>
      </c>
    </row>
    <row r="231" spans="1:11" ht="16.2" thickBot="1">
      <c r="A231" s="6" t="s">
        <v>144</v>
      </c>
      <c r="B231" s="6" t="s">
        <v>599</v>
      </c>
      <c r="C231" s="6" t="s">
        <v>526</v>
      </c>
      <c r="D231" s="6"/>
      <c r="E231" s="7"/>
      <c r="F231" s="5"/>
      <c r="J231" t="s">
        <v>404</v>
      </c>
      <c r="K231" t="str">
        <f t="shared" si="3"/>
        <v>TS-UD-COH-RUL-005Tests not individually listed</v>
      </c>
    </row>
    <row r="232" spans="1:11" ht="16.2" thickBot="1">
      <c r="A232" s="6" t="s">
        <v>145</v>
      </c>
      <c r="B232" s="6" t="s">
        <v>599</v>
      </c>
      <c r="C232" s="6" t="s">
        <v>526</v>
      </c>
      <c r="D232" s="6"/>
      <c r="E232" s="7"/>
      <c r="F232" s="5"/>
      <c r="J232" t="s">
        <v>404</v>
      </c>
      <c r="K232" t="str">
        <f t="shared" si="3"/>
        <v>TS-UD-COH-RUL-006Tests not individually listed</v>
      </c>
    </row>
    <row r="233" spans="1:11" ht="31.2"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2"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2"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2"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2"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2"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2"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2"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2"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2"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2"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2"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2"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2"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2"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2"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2"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2"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2"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2"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2"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2"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2"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2"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2"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2"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2" thickBot="1">
      <c r="A259" s="6" t="s">
        <v>148</v>
      </c>
      <c r="B259" s="6" t="s">
        <v>599</v>
      </c>
      <c r="C259" s="6" t="s">
        <v>526</v>
      </c>
      <c r="D259" s="6"/>
      <c r="E259" s="7"/>
      <c r="F259" s="5"/>
      <c r="J259" t="s">
        <v>404</v>
      </c>
    </row>
    <row r="260" spans="1:11" ht="31.2"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2"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2"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2"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2"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2"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2"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2"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2"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2"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2"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2"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2"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2"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2"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2"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2" thickBot="1">
      <c r="A276" s="6" t="s">
        <v>150</v>
      </c>
      <c r="B276" s="6" t="s">
        <v>599</v>
      </c>
      <c r="C276" s="6" t="s">
        <v>526</v>
      </c>
      <c r="D276" s="6"/>
      <c r="E276" s="7"/>
      <c r="F276" s="5"/>
      <c r="J276" t="s">
        <v>404</v>
      </c>
      <c r="K276" t="str">
        <f t="shared" si="3"/>
        <v>TS-UD-COH-ALR-001Tests not individually listed</v>
      </c>
    </row>
    <row r="277" spans="1:11" ht="31.2"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2"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2"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2"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2"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2"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2"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2"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2"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2"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2"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2"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16.2"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16.2"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2"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2"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2"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2"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2" thickBot="1">
      <c r="A295" s="6" t="s">
        <v>152</v>
      </c>
      <c r="B295" s="6" t="s">
        <v>698</v>
      </c>
      <c r="C295" s="6" t="s">
        <v>526</v>
      </c>
      <c r="D295" s="6"/>
      <c r="E295" s="7"/>
      <c r="F295" s="5"/>
      <c r="J295" t="s">
        <v>404</v>
      </c>
      <c r="K295" t="str">
        <f t="shared" si="4"/>
        <v>TS-UD-PRJ-WBS-002Tests not individually listed</v>
      </c>
    </row>
    <row r="296" spans="1:11" ht="16.2" thickBot="1">
      <c r="A296" s="6" t="s">
        <v>153</v>
      </c>
      <c r="B296" s="6" t="s">
        <v>698</v>
      </c>
      <c r="C296" s="6" t="s">
        <v>526</v>
      </c>
      <c r="D296" s="6"/>
      <c r="E296" s="7"/>
      <c r="F296" s="5"/>
      <c r="J296" t="s">
        <v>404</v>
      </c>
      <c r="K296" t="str">
        <f t="shared" si="4"/>
        <v>TS-UD-PRJ-WBS-003Tests not individually listed</v>
      </c>
    </row>
    <row r="297" spans="1:11" ht="16.2" thickBot="1">
      <c r="A297" s="6" t="s">
        <v>154</v>
      </c>
      <c r="B297" s="6" t="s">
        <v>698</v>
      </c>
      <c r="C297" s="6" t="s">
        <v>526</v>
      </c>
      <c r="D297" s="6"/>
      <c r="E297" s="7"/>
      <c r="F297" s="5"/>
      <c r="J297" t="s">
        <v>404</v>
      </c>
      <c r="K297" t="str">
        <f t="shared" si="4"/>
        <v>TS-UD-PRJ-WBS-004Tests not individually listed</v>
      </c>
    </row>
    <row r="298" spans="1:11" ht="16.2" thickBot="1">
      <c r="A298" s="6" t="s">
        <v>155</v>
      </c>
      <c r="B298" s="6" t="s">
        <v>698</v>
      </c>
      <c r="C298" s="6" t="s">
        <v>526</v>
      </c>
      <c r="D298" s="6"/>
      <c r="E298" s="7"/>
      <c r="F298" s="5"/>
      <c r="J298" t="s">
        <v>404</v>
      </c>
      <c r="K298" t="str">
        <f t="shared" si="4"/>
        <v>TS-UD-PRJ-PRJ-001Tests not individually listed</v>
      </c>
    </row>
    <row r="299" spans="1:11" ht="16.2" thickBot="1">
      <c r="A299" s="6" t="s">
        <v>156</v>
      </c>
      <c r="B299" s="6" t="s">
        <v>698</v>
      </c>
      <c r="C299" s="6" t="s">
        <v>526</v>
      </c>
      <c r="D299" s="6"/>
      <c r="E299" s="7"/>
      <c r="F299" s="5"/>
      <c r="J299" t="s">
        <v>404</v>
      </c>
      <c r="K299" t="str">
        <f t="shared" si="4"/>
        <v>TS-UD-PRJ-DTO-001Tests not individually listed</v>
      </c>
    </row>
    <row r="300" spans="1:11" ht="16.2" thickBot="1">
      <c r="A300" s="6" t="s">
        <v>157</v>
      </c>
      <c r="B300" s="6" t="s">
        <v>718</v>
      </c>
      <c r="C300" s="6" t="s">
        <v>526</v>
      </c>
      <c r="D300" s="6"/>
      <c r="E300" s="7"/>
      <c r="F300" s="5"/>
      <c r="J300" t="s">
        <v>404</v>
      </c>
      <c r="K300" t="str">
        <f t="shared" si="4"/>
        <v>TS-UD-PROC-BOM-001Tests not individually listed</v>
      </c>
    </row>
    <row r="301" spans="1:11" ht="16.2" thickBot="1">
      <c r="A301" s="6" t="s">
        <v>158</v>
      </c>
      <c r="B301" s="6" t="s">
        <v>718</v>
      </c>
      <c r="C301" s="6" t="s">
        <v>526</v>
      </c>
      <c r="D301" s="6"/>
      <c r="E301" s="7"/>
      <c r="F301" s="5"/>
      <c r="J301" t="s">
        <v>404</v>
      </c>
      <c r="K301" t="str">
        <f t="shared" si="4"/>
        <v>TS-UD-PROC-BOM-002Tests not individually listed</v>
      </c>
    </row>
    <row r="302" spans="1:11" ht="31.2"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2"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2"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2"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2"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2"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2"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2"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2"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2"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2"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2"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2"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2"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2"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2"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2" thickBot="1">
      <c r="A318" s="6" t="s">
        <v>160</v>
      </c>
      <c r="B318" s="6" t="s">
        <v>718</v>
      </c>
      <c r="C318" s="6" t="s">
        <v>736</v>
      </c>
      <c r="D318" s="6"/>
      <c r="E318" s="7"/>
      <c r="F318" s="9" t="s">
        <v>737</v>
      </c>
      <c r="G318" s="12" t="s">
        <v>771</v>
      </c>
      <c r="J318" t="s">
        <v>404</v>
      </c>
      <c r="K318" t="str">
        <f t="shared" si="4"/>
        <v>TS-UD-PROC-LTM-002test_001_exw_buyer_full_responsibility</v>
      </c>
    </row>
    <row r="319" spans="1:11" ht="31.2" thickBot="1">
      <c r="A319" s="6" t="s">
        <v>160</v>
      </c>
      <c r="B319" s="6" t="s">
        <v>718</v>
      </c>
      <c r="C319" s="6" t="s">
        <v>738</v>
      </c>
      <c r="D319" s="6"/>
      <c r="E319" s="7"/>
      <c r="F319" s="9" t="s">
        <v>737</v>
      </c>
      <c r="G319" s="12" t="s">
        <v>771</v>
      </c>
      <c r="J319" t="s">
        <v>404</v>
      </c>
      <c r="K319" t="str">
        <f t="shared" si="4"/>
        <v>TS-UD-PROC-LTM-002test_002_exw_transit_time_included</v>
      </c>
    </row>
    <row r="320" spans="1:11" ht="31.2" thickBot="1">
      <c r="A320" s="6" t="s">
        <v>160</v>
      </c>
      <c r="B320" s="6" t="s">
        <v>718</v>
      </c>
      <c r="C320" s="6" t="s">
        <v>739</v>
      </c>
      <c r="D320" s="6"/>
      <c r="E320" s="7"/>
      <c r="F320" s="9" t="s">
        <v>737</v>
      </c>
      <c r="G320" s="12" t="s">
        <v>771</v>
      </c>
      <c r="J320" t="s">
        <v>404</v>
      </c>
      <c r="K320" t="str">
        <f t="shared" si="4"/>
        <v>TS-UD-PROC-LTM-002test_003_exw_customs_included</v>
      </c>
    </row>
    <row r="321" spans="1:11" ht="31.2" thickBot="1">
      <c r="A321" s="6" t="s">
        <v>160</v>
      </c>
      <c r="B321" s="6" t="s">
        <v>718</v>
      </c>
      <c r="C321" s="6" t="s">
        <v>740</v>
      </c>
      <c r="D321" s="6"/>
      <c r="E321" s="7"/>
      <c r="F321" s="9" t="s">
        <v>737</v>
      </c>
      <c r="G321" s="12" t="s">
        <v>771</v>
      </c>
      <c r="J321" t="s">
        <v>404</v>
      </c>
      <c r="K321" t="str">
        <f t="shared" si="4"/>
        <v>TS-UD-PROC-LTM-002test_004_fob_shared_responsibility</v>
      </c>
    </row>
    <row r="322" spans="1:11" ht="31.2" thickBot="1">
      <c r="A322" s="6" t="s">
        <v>160</v>
      </c>
      <c r="B322" s="6" t="s">
        <v>718</v>
      </c>
      <c r="C322" s="6" t="s">
        <v>741</v>
      </c>
      <c r="D322" s="6"/>
      <c r="E322" s="7"/>
      <c r="F322" s="9" t="s">
        <v>737</v>
      </c>
      <c r="G322" s="12" t="s">
        <v>771</v>
      </c>
      <c r="J322" t="s">
        <v>404</v>
      </c>
      <c r="K322" t="str">
        <f t="shared" si="4"/>
        <v>TS-UD-PROC-LTM-002test_005_fob_port_handover</v>
      </c>
    </row>
    <row r="323" spans="1:11" ht="31.2" thickBot="1">
      <c r="A323" s="6" t="s">
        <v>160</v>
      </c>
      <c r="B323" s="6" t="s">
        <v>718</v>
      </c>
      <c r="C323" s="6" t="s">
        <v>742</v>
      </c>
      <c r="D323" s="6"/>
      <c r="E323" s="7"/>
      <c r="F323" s="9" t="s">
        <v>737</v>
      </c>
      <c r="G323" s="12" t="s">
        <v>771</v>
      </c>
      <c r="J323" t="s">
        <v>404</v>
      </c>
      <c r="K323" t="str">
        <f t="shared" si="4"/>
        <v>TS-UD-PROC-LTM-002test_006_fob_insurance_buyer</v>
      </c>
    </row>
    <row r="324" spans="1:11" ht="31.2" thickBot="1">
      <c r="A324" s="6" t="s">
        <v>160</v>
      </c>
      <c r="B324" s="6" t="s">
        <v>718</v>
      </c>
      <c r="C324" s="6" t="s">
        <v>743</v>
      </c>
      <c r="D324" s="6"/>
      <c r="E324" s="7"/>
      <c r="F324" s="9" t="s">
        <v>737</v>
      </c>
      <c r="G324" s="12" t="s">
        <v>771</v>
      </c>
      <c r="J324" t="s">
        <v>404</v>
      </c>
      <c r="K324" t="str">
        <f t="shared" si="4"/>
        <v>TS-UD-PROC-LTM-002test_007_cif_seller_insurance</v>
      </c>
    </row>
    <row r="325" spans="1:11" ht="16.2" thickBot="1">
      <c r="A325" s="6" t="s">
        <v>160</v>
      </c>
      <c r="B325" s="6" t="s">
        <v>718</v>
      </c>
      <c r="C325" s="6" t="s">
        <v>744</v>
      </c>
      <c r="D325" s="6"/>
      <c r="E325" s="7"/>
      <c r="F325" s="9" t="s">
        <v>737</v>
      </c>
      <c r="G325" s="12" t="s">
        <v>771</v>
      </c>
      <c r="J325" t="s">
        <v>404</v>
      </c>
      <c r="K325" t="str">
        <f t="shared" si="4"/>
        <v>TS-UD-PROC-LTM-002test_008_cif_port_to_port</v>
      </c>
    </row>
    <row r="326" spans="1:11" ht="31.2" thickBot="1">
      <c r="A326" s="6" t="s">
        <v>160</v>
      </c>
      <c r="B326" s="6" t="s">
        <v>718</v>
      </c>
      <c r="C326" s="6" t="s">
        <v>745</v>
      </c>
      <c r="D326" s="6"/>
      <c r="E326" s="7"/>
      <c r="F326" s="9" t="s">
        <v>737</v>
      </c>
      <c r="G326" s="12" t="s">
        <v>771</v>
      </c>
      <c r="J326" t="s">
        <v>404</v>
      </c>
      <c r="K326" t="str">
        <f t="shared" si="4"/>
        <v>TS-UD-PROC-LTM-002test_009_cif_customs_buyer</v>
      </c>
    </row>
    <row r="327" spans="1:11" ht="31.2" thickBot="1">
      <c r="A327" s="6" t="s">
        <v>160</v>
      </c>
      <c r="B327" s="6" t="s">
        <v>718</v>
      </c>
      <c r="C327" s="6" t="s">
        <v>746</v>
      </c>
      <c r="D327" s="6"/>
      <c r="E327" s="7"/>
      <c r="F327" s="9" t="s">
        <v>737</v>
      </c>
      <c r="G327" s="12" t="s">
        <v>771</v>
      </c>
      <c r="J327" t="s">
        <v>404</v>
      </c>
      <c r="K327" t="str">
        <f t="shared" si="4"/>
        <v>TS-UD-PROC-LTM-002test_010_ddp_seller_full_responsibility</v>
      </c>
    </row>
    <row r="328" spans="1:11" ht="31.2" thickBot="1">
      <c r="A328" s="6" t="s">
        <v>160</v>
      </c>
      <c r="B328" s="6" t="s">
        <v>718</v>
      </c>
      <c r="C328" s="6" t="s">
        <v>747</v>
      </c>
      <c r="D328" s="6"/>
      <c r="E328" s="7"/>
      <c r="F328" s="9" t="s">
        <v>737</v>
      </c>
      <c r="G328" s="12" t="s">
        <v>771</v>
      </c>
      <c r="J328" t="s">
        <v>404</v>
      </c>
      <c r="K328" t="str">
        <f t="shared" si="4"/>
        <v>TS-UD-PROC-LTM-002test_011_ddp_no_customs_buyer</v>
      </c>
    </row>
    <row r="329" spans="1:11" ht="31.2" thickBot="1">
      <c r="A329" s="6" t="s">
        <v>160</v>
      </c>
      <c r="B329" s="6" t="s">
        <v>718</v>
      </c>
      <c r="C329" s="6" t="s">
        <v>748</v>
      </c>
      <c r="D329" s="6"/>
      <c r="E329" s="7"/>
      <c r="F329" s="9" t="s">
        <v>737</v>
      </c>
      <c r="G329" s="12" t="s">
        <v>771</v>
      </c>
      <c r="J329" t="s">
        <v>404</v>
      </c>
      <c r="K329" t="str">
        <f t="shared" si="4"/>
        <v>TS-UD-PROC-LTM-002test_012_ddp_door_to_door</v>
      </c>
    </row>
    <row r="330" spans="1:11" ht="31.2" thickBot="1">
      <c r="A330" s="6" t="s">
        <v>160</v>
      </c>
      <c r="B330" s="6" t="s">
        <v>718</v>
      </c>
      <c r="C330" s="6" t="s">
        <v>749</v>
      </c>
      <c r="D330" s="6"/>
      <c r="E330" s="7"/>
      <c r="F330" s="9" t="s">
        <v>737</v>
      </c>
      <c r="G330" s="12" t="s">
        <v>771</v>
      </c>
      <c r="J330" t="s">
        <v>404</v>
      </c>
      <c r="K330" t="str">
        <f t="shared" si="4"/>
        <v>TS-UD-PROC-LTM-002test_013_incoterm_comparison_same_route</v>
      </c>
    </row>
    <row r="331" spans="1:11" ht="31.2" thickBot="1">
      <c r="A331" s="6" t="s">
        <v>160</v>
      </c>
      <c r="B331" s="6" t="s">
        <v>718</v>
      </c>
      <c r="C331" s="6" t="s">
        <v>750</v>
      </c>
      <c r="D331" s="6"/>
      <c r="E331" s="7"/>
      <c r="F331" s="9" t="s">
        <v>737</v>
      </c>
      <c r="G331" s="12" t="s">
        <v>771</v>
      </c>
      <c r="J331" t="s">
        <v>404</v>
      </c>
      <c r="K331" t="str">
        <f t="shared" si="4"/>
        <v>TS-UD-PROC-LTM-002test_014_incoterm_impact_on_lead_time</v>
      </c>
    </row>
    <row r="332" spans="1:11" ht="16.2" thickBot="1">
      <c r="A332" s="6" t="s">
        <v>161</v>
      </c>
      <c r="B332" s="6" t="s">
        <v>718</v>
      </c>
      <c r="C332" s="6" t="s">
        <v>526</v>
      </c>
      <c r="D332" s="6"/>
      <c r="E332" s="7"/>
      <c r="F332" s="5"/>
      <c r="J332" t="s">
        <v>404</v>
      </c>
    </row>
    <row r="333" spans="1:11" ht="16.2" thickBot="1">
      <c r="A333" s="6" t="s">
        <v>162</v>
      </c>
      <c r="B333" s="6" t="s">
        <v>718</v>
      </c>
      <c r="C333" s="6" t="s">
        <v>526</v>
      </c>
      <c r="D333" s="6"/>
      <c r="E333" s="7"/>
      <c r="F333" s="5"/>
      <c r="J333" t="s">
        <v>404</v>
      </c>
    </row>
    <row r="334" spans="1:11" ht="16.2" thickBot="1">
      <c r="A334" s="6" t="s">
        <v>163</v>
      </c>
      <c r="B334" s="6" t="s">
        <v>718</v>
      </c>
      <c r="C334" s="6" t="s">
        <v>526</v>
      </c>
      <c r="D334" s="6"/>
      <c r="E334" s="7"/>
      <c r="F334" s="5"/>
      <c r="J334" t="s">
        <v>404</v>
      </c>
    </row>
    <row r="335" spans="1:11" ht="16.2" thickBot="1">
      <c r="A335" s="6" t="s">
        <v>164</v>
      </c>
      <c r="B335" s="6" t="s">
        <v>751</v>
      </c>
      <c r="C335" s="6" t="s">
        <v>526</v>
      </c>
      <c r="D335" s="6"/>
      <c r="E335" s="7"/>
      <c r="F335" s="5"/>
      <c r="J335" t="s">
        <v>404</v>
      </c>
    </row>
    <row r="336" spans="1:11" ht="16.2" thickBot="1">
      <c r="A336" s="6" t="s">
        <v>165</v>
      </c>
      <c r="B336" s="6" t="s">
        <v>751</v>
      </c>
      <c r="C336" s="6" t="s">
        <v>526</v>
      </c>
      <c r="D336" s="6"/>
      <c r="E336" s="7"/>
      <c r="F336" s="5"/>
      <c r="J336" t="s">
        <v>404</v>
      </c>
    </row>
    <row r="337" spans="1:10" ht="16.2" thickBot="1">
      <c r="A337" s="6" t="s">
        <v>166</v>
      </c>
      <c r="B337" s="6" t="s">
        <v>751</v>
      </c>
      <c r="C337" s="6" t="s">
        <v>526</v>
      </c>
      <c r="D337" s="6"/>
      <c r="E337" s="7"/>
      <c r="F337" s="5"/>
      <c r="J337" t="s">
        <v>404</v>
      </c>
    </row>
    <row r="338" spans="1:10" ht="16.2" thickBot="1">
      <c r="A338" s="6" t="s">
        <v>167</v>
      </c>
      <c r="B338" s="6" t="s">
        <v>751</v>
      </c>
      <c r="C338" s="6" t="s">
        <v>526</v>
      </c>
      <c r="D338" s="6"/>
      <c r="E338" s="7"/>
      <c r="F338" s="5" t="s">
        <v>1168</v>
      </c>
    </row>
    <row r="339" spans="1:10" ht="16.2" thickBot="1">
      <c r="A339" s="6" t="s">
        <v>168</v>
      </c>
      <c r="B339" s="6" t="s">
        <v>751</v>
      </c>
      <c r="C339" s="6" t="s">
        <v>526</v>
      </c>
      <c r="D339" s="6"/>
      <c r="E339" s="7"/>
      <c r="F339" s="5" t="s">
        <v>1168</v>
      </c>
    </row>
    <row r="340" spans="1:10" ht="16.2" thickBot="1">
      <c r="A340" s="6" t="s">
        <v>169</v>
      </c>
      <c r="B340" s="6" t="s">
        <v>751</v>
      </c>
      <c r="C340" s="6" t="s">
        <v>526</v>
      </c>
      <c r="D340" s="6"/>
      <c r="E340" s="7"/>
      <c r="F340" s="5" t="s">
        <v>1168</v>
      </c>
    </row>
    <row r="341" spans="1:10" ht="16.2" thickBot="1">
      <c r="A341" s="6" t="s">
        <v>170</v>
      </c>
      <c r="B341" s="6" t="s">
        <v>751</v>
      </c>
      <c r="C341" s="6" t="s">
        <v>526</v>
      </c>
      <c r="D341" s="6"/>
      <c r="E341" s="7"/>
      <c r="F341" s="5" t="s">
        <v>1168</v>
      </c>
    </row>
    <row r="342" spans="1:10" ht="16.2" thickBot="1">
      <c r="A342" s="6" t="s">
        <v>171</v>
      </c>
      <c r="B342" s="6" t="s">
        <v>752</v>
      </c>
      <c r="C342" s="6" t="s">
        <v>526</v>
      </c>
      <c r="D342" s="6"/>
      <c r="E342" s="7"/>
      <c r="F342" s="5" t="s">
        <v>1169</v>
      </c>
    </row>
    <row r="343" spans="1:10" ht="16.2" thickBot="1">
      <c r="A343" s="6" t="s">
        <v>172</v>
      </c>
      <c r="B343" s="6" t="s">
        <v>752</v>
      </c>
      <c r="C343" s="6" t="s">
        <v>526</v>
      </c>
      <c r="D343" s="6"/>
      <c r="E343" s="7"/>
      <c r="F343" s="5" t="s">
        <v>1169</v>
      </c>
    </row>
    <row r="344" spans="1:10" ht="16.2" thickBot="1">
      <c r="A344" s="6" t="s">
        <v>173</v>
      </c>
      <c r="B344" s="6" t="s">
        <v>752</v>
      </c>
      <c r="C344" s="6" t="s">
        <v>526</v>
      </c>
      <c r="D344" s="6"/>
      <c r="E344" s="7"/>
      <c r="F344" s="5" t="s">
        <v>1169</v>
      </c>
    </row>
    <row r="345" spans="1:10" ht="16.2" thickBot="1">
      <c r="A345" s="6" t="s">
        <v>174</v>
      </c>
      <c r="B345" s="6" t="s">
        <v>752</v>
      </c>
      <c r="C345" s="6" t="s">
        <v>526</v>
      </c>
      <c r="D345" s="6"/>
      <c r="E345" s="7"/>
      <c r="F345" s="5" t="s">
        <v>1169</v>
      </c>
    </row>
    <row r="346" spans="1:10" ht="16.2" thickBot="1">
      <c r="A346" s="6" t="s">
        <v>175</v>
      </c>
      <c r="B346" s="6" t="s">
        <v>752</v>
      </c>
      <c r="C346" s="6" t="s">
        <v>526</v>
      </c>
      <c r="D346" s="6"/>
      <c r="E346" s="7"/>
      <c r="F346" s="5" t="s">
        <v>1169</v>
      </c>
    </row>
    <row r="347" spans="1:10" ht="16.2" thickBot="1">
      <c r="A347" s="6" t="s">
        <v>176</v>
      </c>
      <c r="B347" s="6" t="s">
        <v>753</v>
      </c>
      <c r="C347" s="6" t="s">
        <v>526</v>
      </c>
      <c r="D347" s="6"/>
      <c r="E347" s="7"/>
      <c r="F347" s="5" t="s">
        <v>1170</v>
      </c>
    </row>
    <row r="348" spans="1:10" ht="16.2" thickBot="1">
      <c r="A348" s="6" t="s">
        <v>177</v>
      </c>
      <c r="B348" s="6" t="s">
        <v>753</v>
      </c>
      <c r="C348" s="6" t="s">
        <v>526</v>
      </c>
      <c r="D348" s="6"/>
      <c r="E348" s="7"/>
      <c r="F348" s="5" t="s">
        <v>1170</v>
      </c>
    </row>
    <row r="349" spans="1:10" ht="16.2" thickBot="1">
      <c r="A349" s="6" t="s">
        <v>178</v>
      </c>
      <c r="B349" s="6" t="s">
        <v>753</v>
      </c>
      <c r="C349" s="6" t="s">
        <v>526</v>
      </c>
      <c r="D349" s="6"/>
      <c r="E349" s="7"/>
      <c r="F349" s="5" t="s">
        <v>1170</v>
      </c>
    </row>
    <row r="350" spans="1:10" ht="16.2" thickBot="1">
      <c r="A350" s="6" t="s">
        <v>179</v>
      </c>
      <c r="B350" s="6" t="s">
        <v>753</v>
      </c>
      <c r="C350" s="6" t="s">
        <v>526</v>
      </c>
      <c r="D350" s="6"/>
      <c r="E350" s="7"/>
      <c r="F350" s="5" t="s">
        <v>1171</v>
      </c>
    </row>
    <row r="351" spans="1:10" ht="16.2" thickBot="1">
      <c r="A351" s="6" t="s">
        <v>180</v>
      </c>
      <c r="B351" s="6" t="s">
        <v>753</v>
      </c>
      <c r="C351" s="6" t="s">
        <v>526</v>
      </c>
      <c r="D351" s="6"/>
      <c r="E351" s="7"/>
      <c r="F351" s="5" t="s">
        <v>1171</v>
      </c>
    </row>
    <row r="352" spans="1:10" ht="16.2" thickBot="1">
      <c r="A352" s="31" t="s">
        <v>181</v>
      </c>
      <c r="B352" s="31" t="s">
        <v>753</v>
      </c>
      <c r="C352" s="31" t="s">
        <v>526</v>
      </c>
      <c r="D352" s="31"/>
      <c r="E352" s="32"/>
      <c r="F352" s="5" t="s">
        <v>1172</v>
      </c>
      <c r="J352" t="s">
        <v>404</v>
      </c>
    </row>
    <row r="353" spans="1:10" ht="16.2" thickBot="1">
      <c r="A353" s="31" t="s">
        <v>182</v>
      </c>
      <c r="B353" s="31" t="s">
        <v>753</v>
      </c>
      <c r="C353" s="31" t="s">
        <v>526</v>
      </c>
      <c r="D353" s="31"/>
      <c r="E353" s="32"/>
      <c r="F353" s="5" t="s">
        <v>1172</v>
      </c>
      <c r="J353" t="s">
        <v>404</v>
      </c>
    </row>
    <row r="354" spans="1:10" ht="16.2" thickBot="1">
      <c r="A354" s="6" t="s">
        <v>183</v>
      </c>
      <c r="B354" s="6" t="s">
        <v>753</v>
      </c>
      <c r="C354" s="6" t="s">
        <v>526</v>
      </c>
      <c r="D354" s="6"/>
      <c r="E354" s="7"/>
      <c r="F354" s="5" t="s">
        <v>1173</v>
      </c>
    </row>
    <row r="355" spans="1:10" ht="16.2" thickBot="1">
      <c r="A355" s="6" t="s">
        <v>184</v>
      </c>
      <c r="B355" s="6" t="s">
        <v>753</v>
      </c>
      <c r="C355" s="6" t="s">
        <v>526</v>
      </c>
      <c r="D355" s="6"/>
      <c r="E355" s="7"/>
      <c r="F355" s="5" t="s">
        <v>1173</v>
      </c>
    </row>
    <row r="356" spans="1:10" ht="16.2" thickBot="1">
      <c r="A356" s="6" t="s">
        <v>185</v>
      </c>
      <c r="B356" s="6" t="s">
        <v>753</v>
      </c>
      <c r="C356" s="6" t="s">
        <v>526</v>
      </c>
      <c r="D356" s="6"/>
      <c r="E356" s="7"/>
      <c r="F356" s="5" t="s">
        <v>1174</v>
      </c>
    </row>
    <row r="357" spans="1:10" ht="16.2" thickBot="1">
      <c r="A357" s="6" t="s">
        <v>186</v>
      </c>
      <c r="B357" s="6" t="s">
        <v>753</v>
      </c>
      <c r="C357" s="6" t="s">
        <v>526</v>
      </c>
      <c r="D357" s="6"/>
      <c r="E357" s="7"/>
      <c r="F357" s="5" t="s">
        <v>1174</v>
      </c>
    </row>
    <row r="358" spans="1:10" ht="16.2" thickBot="1">
      <c r="A358" s="6" t="s">
        <v>187</v>
      </c>
      <c r="B358" s="6" t="s">
        <v>753</v>
      </c>
      <c r="C358" s="6" t="s">
        <v>526</v>
      </c>
      <c r="D358" s="6"/>
      <c r="E358" s="7"/>
      <c r="F358" s="5" t="s">
        <v>1169</v>
      </c>
    </row>
    <row r="359" spans="1:10" ht="16.2" thickBot="1">
      <c r="A359" s="6" t="s">
        <v>188</v>
      </c>
      <c r="B359" s="6" t="s">
        <v>753</v>
      </c>
      <c r="C359" s="6" t="s">
        <v>526</v>
      </c>
      <c r="D359" s="6"/>
      <c r="E359" s="7"/>
      <c r="F359" s="5" t="s">
        <v>1169</v>
      </c>
    </row>
    <row r="360" spans="1:10" ht="16.2" thickBot="1">
      <c r="A360" s="6" t="s">
        <v>189</v>
      </c>
      <c r="B360" s="6" t="s">
        <v>753</v>
      </c>
      <c r="C360" s="6" t="s">
        <v>526</v>
      </c>
      <c r="D360" s="6"/>
      <c r="E360" s="7"/>
      <c r="F360" s="5" t="s">
        <v>1175</v>
      </c>
    </row>
    <row r="361" spans="1:10" ht="16.2" thickBot="1">
      <c r="A361" s="6" t="s">
        <v>190</v>
      </c>
      <c r="B361" s="6" t="s">
        <v>753</v>
      </c>
      <c r="C361" s="6" t="s">
        <v>526</v>
      </c>
      <c r="D361" s="6"/>
      <c r="E361" s="7"/>
      <c r="F361" s="5" t="s">
        <v>1175</v>
      </c>
    </row>
    <row r="362" spans="1:10" ht="16.2" thickBot="1">
      <c r="A362" s="6" t="s">
        <v>191</v>
      </c>
      <c r="B362" s="6" t="s">
        <v>754</v>
      </c>
      <c r="C362" s="6" t="s">
        <v>526</v>
      </c>
      <c r="D362" s="6"/>
      <c r="E362" s="7"/>
      <c r="F362" s="5" t="s">
        <v>1170</v>
      </c>
    </row>
    <row r="363" spans="1:10" ht="16.2" thickBot="1">
      <c r="A363" s="6" t="s">
        <v>192</v>
      </c>
      <c r="B363" s="6" t="s">
        <v>754</v>
      </c>
      <c r="C363" s="6" t="s">
        <v>526</v>
      </c>
      <c r="D363" s="6"/>
      <c r="E363" s="7"/>
      <c r="F363" s="5" t="s">
        <v>1170</v>
      </c>
    </row>
    <row r="364" spans="1:10" ht="16.2" thickBot="1">
      <c r="A364" s="6" t="s">
        <v>193</v>
      </c>
      <c r="B364" s="6" t="s">
        <v>754</v>
      </c>
      <c r="C364" s="6" t="s">
        <v>526</v>
      </c>
      <c r="D364" s="6"/>
      <c r="E364" s="7"/>
      <c r="F364" s="5" t="s">
        <v>1171</v>
      </c>
    </row>
    <row r="365" spans="1:10" ht="16.2" thickBot="1">
      <c r="A365" s="6" t="s">
        <v>194</v>
      </c>
      <c r="B365" s="6" t="s">
        <v>754</v>
      </c>
      <c r="C365" s="6" t="s">
        <v>526</v>
      </c>
      <c r="D365" s="6"/>
      <c r="E365" s="7"/>
      <c r="F365" s="5" t="s">
        <v>1170</v>
      </c>
    </row>
    <row r="366" spans="1:10" ht="16.2" thickBot="1">
      <c r="A366" s="6" t="s">
        <v>195</v>
      </c>
      <c r="B366" s="6" t="s">
        <v>754</v>
      </c>
      <c r="C366" s="6" t="s">
        <v>526</v>
      </c>
      <c r="D366" s="6"/>
      <c r="E366" s="7"/>
      <c r="F366" s="5" t="s">
        <v>1175</v>
      </c>
    </row>
    <row r="367" spans="1:10" ht="16.2" thickBot="1">
      <c r="A367" s="6" t="s">
        <v>196</v>
      </c>
      <c r="B367" s="6" t="s">
        <v>754</v>
      </c>
      <c r="C367" s="6" t="s">
        <v>526</v>
      </c>
      <c r="D367" s="6"/>
      <c r="E367" s="7"/>
      <c r="F367" s="5" t="s">
        <v>1176</v>
      </c>
    </row>
    <row r="368" spans="1:10" ht="16.2" thickBot="1">
      <c r="A368" s="6" t="s">
        <v>197</v>
      </c>
      <c r="B368" s="6" t="s">
        <v>754</v>
      </c>
      <c r="C368" s="6" t="s">
        <v>526</v>
      </c>
      <c r="D368" s="6"/>
      <c r="E368" s="7"/>
      <c r="F368" s="5" t="s">
        <v>1176</v>
      </c>
    </row>
    <row r="369" spans="1:10" ht="16.2" thickBot="1">
      <c r="A369" s="6" t="s">
        <v>198</v>
      </c>
      <c r="B369" s="6" t="s">
        <v>755</v>
      </c>
      <c r="C369" s="6" t="s">
        <v>526</v>
      </c>
      <c r="D369" s="6"/>
      <c r="E369" s="7"/>
      <c r="F369" s="5" t="s">
        <v>1177</v>
      </c>
      <c r="J369" t="s">
        <v>851</v>
      </c>
    </row>
    <row r="370" spans="1:10" ht="16.2" thickBot="1">
      <c r="A370" s="6" t="s">
        <v>199</v>
      </c>
      <c r="B370" s="6" t="s">
        <v>755</v>
      </c>
      <c r="C370" s="6" t="s">
        <v>526</v>
      </c>
      <c r="D370" s="6"/>
      <c r="E370" s="7"/>
      <c r="F370" s="5" t="s">
        <v>1177</v>
      </c>
      <c r="J370" t="s">
        <v>851</v>
      </c>
    </row>
    <row r="371" spans="1:10" ht="16.2" thickBot="1">
      <c r="A371" s="6" t="s">
        <v>200</v>
      </c>
      <c r="B371" s="6" t="s">
        <v>756</v>
      </c>
      <c r="C371" s="6" t="s">
        <v>526</v>
      </c>
      <c r="D371" s="6"/>
      <c r="E371" s="7"/>
      <c r="F371" s="5" t="s">
        <v>1176</v>
      </c>
    </row>
    <row r="372" spans="1:10" ht="16.2" thickBot="1">
      <c r="A372" s="6" t="s">
        <v>201</v>
      </c>
      <c r="B372" s="6" t="s">
        <v>756</v>
      </c>
      <c r="C372" s="6" t="s">
        <v>526</v>
      </c>
      <c r="D372" s="6"/>
      <c r="E372" s="7"/>
      <c r="F372" s="5" t="s">
        <v>1176</v>
      </c>
    </row>
    <row r="373" spans="1:10" ht="16.2" thickBot="1">
      <c r="A373" s="6" t="s">
        <v>202</v>
      </c>
      <c r="B373" s="6" t="s">
        <v>756</v>
      </c>
      <c r="C373" s="6" t="s">
        <v>526</v>
      </c>
      <c r="D373" s="6"/>
      <c r="E373" s="7"/>
      <c r="F373" s="5" t="s">
        <v>1176</v>
      </c>
      <c r="J373" t="s">
        <v>851</v>
      </c>
    </row>
    <row r="374" spans="1:10" ht="16.2" thickBot="1">
      <c r="A374" s="6" t="s">
        <v>203</v>
      </c>
      <c r="B374" s="6" t="s">
        <v>757</v>
      </c>
      <c r="C374" s="6" t="s">
        <v>526</v>
      </c>
      <c r="D374" s="6"/>
      <c r="E374" s="7"/>
      <c r="F374" s="5" t="s">
        <v>1176</v>
      </c>
    </row>
    <row r="375" spans="1:10" ht="16.2" thickBot="1">
      <c r="A375" s="6" t="s">
        <v>204</v>
      </c>
      <c r="B375" s="6" t="s">
        <v>757</v>
      </c>
      <c r="C375" s="6" t="s">
        <v>526</v>
      </c>
      <c r="D375" s="6"/>
      <c r="E375" s="7"/>
      <c r="F375" s="5" t="s">
        <v>1176</v>
      </c>
    </row>
    <row r="376" spans="1:10" ht="16.2" thickBot="1">
      <c r="A376" s="6" t="s">
        <v>205</v>
      </c>
      <c r="B376" s="6" t="s">
        <v>757</v>
      </c>
      <c r="C376" s="6" t="s">
        <v>526</v>
      </c>
      <c r="D376" s="6"/>
      <c r="E376" s="7"/>
      <c r="F376" s="5" t="s">
        <v>1176</v>
      </c>
    </row>
    <row r="377" spans="1:10" ht="16.2" thickBot="1">
      <c r="A377" s="6" t="s">
        <v>206</v>
      </c>
      <c r="B377" s="6" t="s">
        <v>757</v>
      </c>
      <c r="C377" s="6" t="s">
        <v>526</v>
      </c>
      <c r="D377" s="6"/>
      <c r="E377" s="7"/>
      <c r="F377" s="5" t="s">
        <v>1176</v>
      </c>
    </row>
    <row r="378" spans="1:10" ht="16.2" thickBot="1">
      <c r="A378" s="25" t="s">
        <v>207</v>
      </c>
      <c r="B378" s="6" t="s">
        <v>758</v>
      </c>
      <c r="C378" s="6" t="s">
        <v>526</v>
      </c>
      <c r="D378" s="6"/>
      <c r="E378" s="7"/>
      <c r="F378" s="5" t="s">
        <v>1178</v>
      </c>
      <c r="J378" t="s">
        <v>404</v>
      </c>
    </row>
    <row r="379" spans="1:10" ht="16.2" thickBot="1">
      <c r="A379" s="6" t="s">
        <v>208</v>
      </c>
      <c r="B379" s="6" t="s">
        <v>758</v>
      </c>
      <c r="C379" s="6" t="s">
        <v>526</v>
      </c>
      <c r="D379" s="6"/>
      <c r="E379" s="7"/>
      <c r="F379" s="5" t="s">
        <v>1178</v>
      </c>
      <c r="J379" t="s">
        <v>404</v>
      </c>
    </row>
    <row r="380" spans="1:10" ht="16.2" thickBot="1">
      <c r="A380" s="6" t="s">
        <v>209</v>
      </c>
      <c r="B380" s="6" t="s">
        <v>758</v>
      </c>
      <c r="C380" s="6" t="s">
        <v>526</v>
      </c>
      <c r="D380" s="6"/>
      <c r="E380" s="7"/>
      <c r="F380" s="5" t="s">
        <v>1179</v>
      </c>
      <c r="J380" t="s">
        <v>404</v>
      </c>
    </row>
    <row r="381" spans="1:10" ht="16.2" thickBot="1">
      <c r="A381" s="6" t="s">
        <v>210</v>
      </c>
      <c r="B381" s="6" t="s">
        <v>758</v>
      </c>
      <c r="C381" s="6" t="s">
        <v>526</v>
      </c>
      <c r="D381" s="6"/>
      <c r="E381" s="7"/>
      <c r="F381" s="5" t="s">
        <v>1180</v>
      </c>
    </row>
    <row r="382" spans="1:10" ht="16.2" thickBot="1">
      <c r="A382" s="6" t="s">
        <v>211</v>
      </c>
      <c r="B382" s="6" t="s">
        <v>758</v>
      </c>
      <c r="C382" s="6" t="s">
        <v>526</v>
      </c>
      <c r="D382" s="6"/>
      <c r="E382" s="7"/>
      <c r="F382" s="5" t="s">
        <v>1181</v>
      </c>
    </row>
    <row r="383" spans="1:10" ht="16.2" thickBot="1">
      <c r="A383" s="6" t="s">
        <v>212</v>
      </c>
      <c r="B383" s="6" t="s">
        <v>758</v>
      </c>
      <c r="C383" s="6" t="s">
        <v>526</v>
      </c>
      <c r="D383" s="6"/>
      <c r="E383" s="7"/>
      <c r="F383" s="5" t="s">
        <v>1175</v>
      </c>
    </row>
    <row r="384" spans="1:10" ht="16.2" thickBot="1">
      <c r="A384" s="6" t="s">
        <v>213</v>
      </c>
      <c r="B384" s="6" t="s">
        <v>758</v>
      </c>
      <c r="C384" s="6" t="s">
        <v>526</v>
      </c>
      <c r="D384" s="6"/>
      <c r="E384" s="7"/>
      <c r="F384" s="5" t="s">
        <v>1182</v>
      </c>
    </row>
    <row r="385" spans="1:10" ht="16.2" thickBot="1">
      <c r="A385" s="6" t="s">
        <v>214</v>
      </c>
      <c r="B385" s="6" t="s">
        <v>758</v>
      </c>
      <c r="C385" s="6" t="s">
        <v>526</v>
      </c>
      <c r="D385" s="6"/>
      <c r="E385" s="7"/>
      <c r="F385" s="5" t="s">
        <v>1182</v>
      </c>
    </row>
    <row r="386" spans="1:10" ht="16.2" thickBot="1">
      <c r="A386" s="6" t="s">
        <v>215</v>
      </c>
      <c r="B386" s="6" t="s">
        <v>758</v>
      </c>
      <c r="C386" s="6" t="s">
        <v>526</v>
      </c>
      <c r="D386" s="6"/>
      <c r="E386" s="7"/>
      <c r="F386" s="5" t="s">
        <v>1169</v>
      </c>
    </row>
    <row r="387" spans="1:10" ht="16.2" thickBot="1">
      <c r="A387" s="6" t="s">
        <v>216</v>
      </c>
      <c r="B387" s="6" t="s">
        <v>758</v>
      </c>
      <c r="C387" s="6" t="s">
        <v>526</v>
      </c>
      <c r="D387" s="6"/>
      <c r="E387" s="7"/>
      <c r="F387" s="5" t="s">
        <v>1182</v>
      </c>
    </row>
    <row r="388" spans="1:10" ht="16.2" thickBot="1">
      <c r="A388" s="6" t="s">
        <v>217</v>
      </c>
      <c r="B388" s="6" t="s">
        <v>758</v>
      </c>
      <c r="C388" s="6" t="s">
        <v>526</v>
      </c>
      <c r="D388" s="6"/>
      <c r="E388" s="7"/>
      <c r="F388" s="5" t="s">
        <v>1182</v>
      </c>
    </row>
    <row r="389" spans="1:10" ht="16.2" thickBot="1">
      <c r="A389" s="6" t="s">
        <v>218</v>
      </c>
      <c r="B389" s="6" t="s">
        <v>758</v>
      </c>
      <c r="C389" s="6" t="s">
        <v>526</v>
      </c>
      <c r="D389" s="6"/>
      <c r="E389" s="7"/>
      <c r="F389" s="5" t="s">
        <v>1182</v>
      </c>
    </row>
    <row r="390" spans="1:10" ht="16.2" thickBot="1">
      <c r="A390" s="6" t="s">
        <v>219</v>
      </c>
      <c r="B390" s="6" t="s">
        <v>758</v>
      </c>
      <c r="C390" s="6" t="s">
        <v>526</v>
      </c>
      <c r="D390" s="6"/>
      <c r="E390" s="7"/>
      <c r="F390" s="5" t="s">
        <v>1182</v>
      </c>
    </row>
    <row r="391" spans="1:10" ht="16.2" thickBot="1">
      <c r="A391" s="6" t="s">
        <v>220</v>
      </c>
      <c r="B391" s="6" t="s">
        <v>758</v>
      </c>
      <c r="C391" s="6" t="s">
        <v>526</v>
      </c>
      <c r="D391" s="6"/>
      <c r="E391" s="7"/>
      <c r="F391" s="5" t="s">
        <v>1183</v>
      </c>
      <c r="J391" t="s">
        <v>404</v>
      </c>
    </row>
    <row r="392" spans="1:10" ht="16.2" thickBot="1">
      <c r="A392" s="6" t="s">
        <v>221</v>
      </c>
      <c r="B392" s="6" t="s">
        <v>758</v>
      </c>
      <c r="C392" s="6" t="s">
        <v>526</v>
      </c>
      <c r="D392" s="6"/>
      <c r="E392" s="7"/>
      <c r="F392" s="5" t="s">
        <v>1184</v>
      </c>
      <c r="J392" t="s">
        <v>404</v>
      </c>
    </row>
    <row r="393" spans="1:10" ht="16.2" thickBot="1">
      <c r="A393" s="6" t="s">
        <v>222</v>
      </c>
      <c r="B393" s="6" t="s">
        <v>758</v>
      </c>
      <c r="C393" s="6" t="s">
        <v>526</v>
      </c>
      <c r="D393" s="6"/>
      <c r="E393" s="7"/>
      <c r="F393" s="5" t="s">
        <v>1184</v>
      </c>
      <c r="J393" t="s">
        <v>404</v>
      </c>
    </row>
    <row r="394" spans="1:10" ht="16.2" thickBot="1">
      <c r="A394" s="6" t="s">
        <v>223</v>
      </c>
      <c r="B394" s="6" t="s">
        <v>759</v>
      </c>
      <c r="C394" s="6" t="s">
        <v>526</v>
      </c>
      <c r="D394" s="6"/>
      <c r="E394" s="7"/>
      <c r="F394" s="5" t="s">
        <v>1185</v>
      </c>
    </row>
    <row r="395" spans="1:10" ht="16.2" thickBot="1">
      <c r="A395" s="6" t="s">
        <v>224</v>
      </c>
      <c r="B395" s="6" t="s">
        <v>759</v>
      </c>
      <c r="C395" s="6" t="s">
        <v>526</v>
      </c>
      <c r="D395" s="6"/>
      <c r="E395" s="7"/>
      <c r="F395" s="5" t="s">
        <v>1185</v>
      </c>
    </row>
    <row r="396" spans="1:10" ht="16.2" thickBot="1">
      <c r="A396" s="6" t="s">
        <v>225</v>
      </c>
      <c r="B396" s="6" t="s">
        <v>759</v>
      </c>
      <c r="C396" s="6" t="s">
        <v>526</v>
      </c>
      <c r="D396" s="6"/>
      <c r="E396" s="7"/>
      <c r="F396" s="5" t="s">
        <v>1185</v>
      </c>
    </row>
    <row r="397" spans="1:10" ht="16.2" thickBot="1">
      <c r="A397" s="21" t="s">
        <v>226</v>
      </c>
      <c r="B397" s="21" t="s">
        <v>759</v>
      </c>
      <c r="C397" s="21" t="s">
        <v>526</v>
      </c>
      <c r="D397" s="21"/>
      <c r="E397" s="30"/>
      <c r="F397" s="5" t="s">
        <v>1185</v>
      </c>
      <c r="G397" s="20"/>
      <c r="H397" s="20"/>
      <c r="I397" s="20"/>
      <c r="J397" s="20" t="s">
        <v>849</v>
      </c>
    </row>
    <row r="398" spans="1:10" ht="16.2" thickBot="1">
      <c r="A398" s="6" t="s">
        <v>227</v>
      </c>
      <c r="B398" s="6" t="s">
        <v>759</v>
      </c>
      <c r="C398" s="6" t="s">
        <v>526</v>
      </c>
      <c r="D398" s="6"/>
      <c r="E398" s="7"/>
      <c r="F398" s="5" t="s">
        <v>1185</v>
      </c>
    </row>
    <row r="399" spans="1:10" ht="16.2" thickBot="1">
      <c r="A399" s="6" t="s">
        <v>228</v>
      </c>
      <c r="B399" s="6" t="s">
        <v>759</v>
      </c>
      <c r="C399" s="6" t="s">
        <v>526</v>
      </c>
      <c r="D399" s="6"/>
      <c r="E399" s="7"/>
      <c r="F399" s="5" t="s">
        <v>1185</v>
      </c>
    </row>
    <row r="400" spans="1:10" ht="16.2" thickBot="1">
      <c r="A400" s="6" t="s">
        <v>229</v>
      </c>
      <c r="B400" s="6" t="s">
        <v>759</v>
      </c>
      <c r="C400" s="6" t="s">
        <v>526</v>
      </c>
      <c r="D400" s="6"/>
      <c r="E400" s="7"/>
      <c r="F400" s="5" t="s">
        <v>1185</v>
      </c>
    </row>
    <row r="401" spans="1:6" ht="16.2" thickBot="1">
      <c r="A401" s="6" t="s">
        <v>230</v>
      </c>
      <c r="B401" s="6" t="s">
        <v>759</v>
      </c>
      <c r="C401" s="6" t="s">
        <v>526</v>
      </c>
      <c r="D401" s="6"/>
      <c r="E401" s="7"/>
      <c r="F401" s="5" t="s">
        <v>1185</v>
      </c>
    </row>
    <row r="402" spans="1:6" ht="16.2" thickBot="1">
      <c r="A402" s="6" t="s">
        <v>231</v>
      </c>
      <c r="B402" s="6" t="s">
        <v>759</v>
      </c>
      <c r="C402" s="6" t="s">
        <v>526</v>
      </c>
      <c r="D402" s="6"/>
      <c r="E402" s="7"/>
      <c r="F402" s="5" t="s">
        <v>1185</v>
      </c>
    </row>
    <row r="403" spans="1:6" ht="15" thickBot="1">
      <c r="A403" s="5"/>
      <c r="B403" s="5"/>
      <c r="C403" s="5"/>
      <c r="D403" s="5"/>
      <c r="E403" s="5"/>
      <c r="F403" s="5"/>
    </row>
    <row r="404" spans="1:6" ht="15" thickBot="1">
      <c r="A404" s="5"/>
      <c r="B404" s="5"/>
      <c r="C404" s="5"/>
      <c r="D404" s="5"/>
      <c r="E404" s="5"/>
      <c r="F404" s="5"/>
    </row>
  </sheetData>
  <autoFilter ref="A1:I404" xr:uid="{23FEA767-FEF3-4D23-9143-13AEAC680DA5}"/>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4.4"/>
  <cols>
    <col min="1" max="9" width="11.441406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79" workbookViewId="0">
      <selection activeCell="A95" sqref="A95"/>
    </sheetView>
  </sheetViews>
  <sheetFormatPr baseColWidth="10" defaultRowHeight="14.4"/>
  <cols>
    <col min="1" max="1" width="91.5546875" bestFit="1" customWidth="1"/>
    <col min="2" max="2" width="63.332031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zoomScaleNormal="100" workbookViewId="0">
      <selection activeCell="D60" sqref="D60"/>
    </sheetView>
  </sheetViews>
  <sheetFormatPr baseColWidth="10" defaultRowHeight="45" customHeight="1"/>
  <cols>
    <col min="2" max="2" width="66.44140625" bestFit="1" customWidth="1"/>
    <col min="3" max="3" width="85.109375" hidden="1" customWidth="1"/>
    <col min="4" max="4" width="178.88671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 customHeight="1">
      <c r="A3" s="26" t="s">
        <v>834</v>
      </c>
      <c r="B3" s="23"/>
      <c r="C3" s="23"/>
      <c r="D3" s="22" t="s">
        <v>1122</v>
      </c>
      <c r="E3" s="23"/>
      <c r="F3" s="23"/>
      <c r="G3" s="23"/>
      <c r="H3" s="23"/>
      <c r="I3" s="23"/>
      <c r="J3" s="23"/>
    </row>
    <row r="4" spans="1:10" ht="14.4" customHeight="1">
      <c r="A4" s="27" t="s">
        <v>835</v>
      </c>
      <c r="B4" s="23"/>
      <c r="C4" s="23"/>
      <c r="D4" s="22" t="s">
        <v>1123</v>
      </c>
      <c r="E4" s="23"/>
      <c r="F4" s="23"/>
      <c r="G4" s="23"/>
      <c r="H4" s="23"/>
      <c r="I4" s="23"/>
      <c r="J4" s="23"/>
    </row>
    <row r="5" spans="1:10" ht="14.4" customHeight="1">
      <c r="A5" s="22" t="s">
        <v>836</v>
      </c>
      <c r="B5" s="23"/>
      <c r="C5" s="23"/>
      <c r="D5" s="22" t="s">
        <v>1124</v>
      </c>
      <c r="E5" s="23"/>
      <c r="F5" s="23"/>
      <c r="G5" s="23"/>
      <c r="H5" s="23"/>
      <c r="I5" s="23"/>
      <c r="J5" s="23"/>
    </row>
    <row r="6" spans="1:10" ht="14.4" customHeight="1">
      <c r="A6" s="22" t="s">
        <v>837</v>
      </c>
      <c r="B6" s="23"/>
      <c r="C6" s="23"/>
      <c r="D6" s="22" t="s">
        <v>1125</v>
      </c>
      <c r="E6" s="23"/>
      <c r="F6" s="23"/>
      <c r="G6" s="23"/>
      <c r="H6" s="23"/>
      <c r="I6" s="23"/>
      <c r="J6" s="23"/>
    </row>
    <row r="7" spans="1:10" ht="14.4" customHeight="1">
      <c r="A7" s="22" t="s">
        <v>838</v>
      </c>
      <c r="B7" s="23"/>
      <c r="C7" s="23"/>
      <c r="D7" s="22" t="s">
        <v>1126</v>
      </c>
      <c r="E7" s="23"/>
      <c r="F7" s="23"/>
      <c r="G7" s="23"/>
      <c r="H7" s="23"/>
      <c r="I7" s="23"/>
      <c r="J7" s="23"/>
    </row>
    <row r="8" spans="1:10" ht="14.4" customHeight="1">
      <c r="A8" s="27" t="s">
        <v>839</v>
      </c>
      <c r="B8" s="33"/>
      <c r="C8" s="23"/>
      <c r="D8" s="22" t="s">
        <v>1127</v>
      </c>
      <c r="E8" s="23"/>
      <c r="F8" s="23"/>
      <c r="G8" s="23"/>
      <c r="H8" s="23"/>
      <c r="I8" s="23"/>
      <c r="J8" s="23"/>
    </row>
    <row r="9" spans="1:10" ht="14.4" customHeight="1">
      <c r="A9" s="22" t="s">
        <v>840</v>
      </c>
      <c r="B9" s="23"/>
      <c r="C9" s="23"/>
      <c r="D9" s="22" t="s">
        <v>1128</v>
      </c>
      <c r="E9" s="23"/>
      <c r="F9" s="23"/>
      <c r="G9" s="23"/>
      <c r="H9" s="23"/>
      <c r="I9" s="23"/>
      <c r="J9" s="23"/>
    </row>
    <row r="10" spans="1:10" ht="14.4" customHeight="1">
      <c r="A10" s="22" t="s">
        <v>841</v>
      </c>
      <c r="B10" s="23"/>
      <c r="C10" s="23"/>
      <c r="D10" s="22" t="s">
        <v>1129</v>
      </c>
      <c r="E10" s="23"/>
      <c r="F10" s="23"/>
      <c r="G10" s="23"/>
      <c r="H10" s="23"/>
      <c r="I10" s="23"/>
      <c r="J10" s="23"/>
    </row>
    <row r="11" spans="1:10" ht="14.4" customHeight="1">
      <c r="A11" s="22" t="s">
        <v>842</v>
      </c>
      <c r="B11" s="23"/>
      <c r="C11" s="23"/>
      <c r="D11" s="22" t="s">
        <v>1130</v>
      </c>
      <c r="E11" s="23"/>
      <c r="F11" s="23"/>
      <c r="G11" s="23"/>
      <c r="H11" s="23"/>
      <c r="I11" s="23"/>
      <c r="J11" s="23"/>
    </row>
    <row r="12" spans="1:10" ht="14.4" customHeight="1">
      <c r="A12" s="22" t="s">
        <v>843</v>
      </c>
      <c r="B12" s="23"/>
      <c r="C12" s="23"/>
      <c r="D12" s="22" t="s">
        <v>1131</v>
      </c>
      <c r="E12" s="23"/>
      <c r="F12" s="23"/>
      <c r="G12" s="23"/>
      <c r="H12" s="23"/>
      <c r="I12" s="23"/>
      <c r="J12" s="23"/>
    </row>
    <row r="13" spans="1:10" ht="14.4" customHeight="1">
      <c r="A13" s="22" t="s">
        <v>844</v>
      </c>
      <c r="B13" s="23"/>
      <c r="C13" s="23"/>
      <c r="D13" s="22" t="s">
        <v>1132</v>
      </c>
      <c r="E13" s="23"/>
      <c r="F13" s="23"/>
      <c r="G13" s="23"/>
      <c r="H13" s="23"/>
      <c r="I13" s="23"/>
      <c r="J13" s="23"/>
    </row>
    <row r="14" spans="1:10" ht="14.4" customHeight="1">
      <c r="A14" s="35" t="s">
        <v>845</v>
      </c>
      <c r="B14" s="36"/>
      <c r="C14" s="23"/>
      <c r="D14" s="22" t="s">
        <v>1133</v>
      </c>
      <c r="E14" s="23"/>
      <c r="F14" s="23"/>
      <c r="G14" s="23"/>
      <c r="H14" s="23"/>
      <c r="I14" s="23"/>
      <c r="J14" s="23"/>
    </row>
    <row r="15" spans="1:10" ht="14.4" customHeight="1">
      <c r="A15" s="35" t="s">
        <v>846</v>
      </c>
      <c r="B15" s="36"/>
      <c r="C15" s="23"/>
      <c r="D15" s="22" t="s">
        <v>1134</v>
      </c>
      <c r="E15" s="23"/>
      <c r="F15" s="23"/>
      <c r="G15" s="23"/>
      <c r="H15" s="23"/>
      <c r="I15" s="23"/>
      <c r="J15" s="23"/>
    </row>
    <row r="16" spans="1:10" ht="14.4" customHeight="1">
      <c r="A16" s="22" t="s">
        <v>1165</v>
      </c>
      <c r="B16" s="23"/>
      <c r="C16" s="23"/>
      <c r="D16" s="22" t="s">
        <v>1128</v>
      </c>
      <c r="E16" s="23"/>
      <c r="F16" s="23"/>
      <c r="G16" s="23"/>
      <c r="H16" s="23"/>
      <c r="I16" s="23"/>
      <c r="J16" s="23"/>
    </row>
    <row r="17" spans="2:10" ht="14.4" customHeight="1">
      <c r="D17" s="22" t="s">
        <v>1135</v>
      </c>
      <c r="E17" s="23"/>
      <c r="F17" s="23"/>
      <c r="G17" s="23"/>
      <c r="H17" s="23"/>
      <c r="I17" s="23"/>
      <c r="J17" s="23"/>
    </row>
    <row r="18" spans="2:10" ht="14.4" customHeight="1">
      <c r="B18" s="16" t="s">
        <v>812</v>
      </c>
      <c r="D18" s="22" t="s">
        <v>1126</v>
      </c>
      <c r="E18" s="23"/>
      <c r="F18" s="23"/>
      <c r="G18" s="23"/>
      <c r="H18" s="23"/>
      <c r="I18" s="23"/>
      <c r="J18" s="23"/>
    </row>
    <row r="19" spans="2:10" ht="14.4" customHeight="1">
      <c r="B19" s="16" t="s">
        <v>813</v>
      </c>
      <c r="C19" s="2" t="s">
        <v>831</v>
      </c>
      <c r="D19" s="22" t="s">
        <v>1136</v>
      </c>
      <c r="E19" s="23"/>
      <c r="F19" s="23"/>
      <c r="G19" s="23"/>
      <c r="H19" s="23"/>
      <c r="I19" s="23"/>
      <c r="J19" s="23"/>
    </row>
    <row r="20" spans="2:10" ht="14.4" customHeight="1">
      <c r="B20" s="16" t="s">
        <v>814</v>
      </c>
      <c r="D20" s="22" t="s">
        <v>1137</v>
      </c>
      <c r="E20" s="23"/>
      <c r="F20" s="23"/>
      <c r="G20" s="23"/>
      <c r="H20" s="23"/>
      <c r="I20" s="23"/>
      <c r="J20" s="23"/>
    </row>
    <row r="21" spans="2:10" ht="14.4" customHeight="1">
      <c r="B21" s="16" t="s">
        <v>815</v>
      </c>
      <c r="D21" s="22" t="s">
        <v>1125</v>
      </c>
      <c r="E21" s="23"/>
      <c r="F21" s="23"/>
      <c r="G21" s="23"/>
      <c r="H21" s="23"/>
      <c r="I21" s="23"/>
      <c r="J21" s="23"/>
    </row>
    <row r="22" spans="2:10" ht="14.4" customHeight="1">
      <c r="B22" s="17"/>
      <c r="D22" s="22" t="s">
        <v>1126</v>
      </c>
      <c r="E22" s="23"/>
      <c r="F22" s="23"/>
      <c r="G22" s="23"/>
      <c r="H22" s="23"/>
      <c r="I22" s="23"/>
      <c r="J22" s="23"/>
    </row>
    <row r="23" spans="2:10" ht="14.4" customHeight="1">
      <c r="B23" s="16" t="s">
        <v>816</v>
      </c>
      <c r="D23" s="22" t="s">
        <v>1136</v>
      </c>
      <c r="E23" s="23"/>
      <c r="F23" s="23"/>
      <c r="G23" s="23"/>
      <c r="H23" s="23"/>
      <c r="I23" s="23"/>
      <c r="J23" s="23"/>
    </row>
    <row r="24" spans="2:10" ht="14.4" customHeight="1">
      <c r="B24" s="16" t="s">
        <v>817</v>
      </c>
      <c r="D24" s="22" t="s">
        <v>1138</v>
      </c>
      <c r="E24" s="23"/>
      <c r="F24" s="23"/>
      <c r="G24" s="23"/>
      <c r="H24" s="23"/>
      <c r="I24" s="23"/>
      <c r="J24" s="23"/>
    </row>
    <row r="25" spans="2:10" ht="14.4" customHeight="1">
      <c r="B25" s="17"/>
      <c r="D25" s="22" t="s">
        <v>1139</v>
      </c>
      <c r="E25" s="23"/>
      <c r="F25" s="23"/>
      <c r="G25" s="23"/>
      <c r="H25" s="23"/>
      <c r="I25" s="23"/>
      <c r="J25" s="23"/>
    </row>
    <row r="26" spans="2:10" ht="14.4" customHeight="1">
      <c r="B26" s="16" t="s">
        <v>818</v>
      </c>
      <c r="D26" s="22" t="s">
        <v>1140</v>
      </c>
      <c r="E26" s="23"/>
      <c r="F26" s="23"/>
      <c r="G26" s="23"/>
      <c r="H26" s="23"/>
      <c r="I26" s="23"/>
      <c r="J26" s="23"/>
    </row>
    <row r="27" spans="2:10" ht="14.4" customHeight="1">
      <c r="B27" s="16" t="s">
        <v>819</v>
      </c>
      <c r="D27" s="22" t="s">
        <v>1125</v>
      </c>
      <c r="E27" s="23"/>
      <c r="F27" s="23"/>
      <c r="G27" s="23"/>
      <c r="H27" s="23"/>
      <c r="I27" s="23"/>
      <c r="J27" s="23"/>
    </row>
    <row r="28" spans="2:10" ht="14.4" customHeight="1">
      <c r="B28" s="17"/>
      <c r="D28" s="22" t="s">
        <v>1126</v>
      </c>
      <c r="E28" s="23"/>
      <c r="F28" s="23"/>
      <c r="G28" s="23"/>
      <c r="H28" s="23"/>
      <c r="I28" s="23"/>
      <c r="J28" s="23"/>
    </row>
    <row r="29" spans="2:10" ht="14.4" customHeight="1">
      <c r="B29" s="16" t="s">
        <v>820</v>
      </c>
      <c r="D29" s="22" t="s">
        <v>1127</v>
      </c>
      <c r="E29" s="23"/>
      <c r="F29" s="23"/>
      <c r="G29" s="23"/>
      <c r="H29" s="23"/>
      <c r="I29" s="23"/>
      <c r="J29" s="23"/>
    </row>
    <row r="30" spans="2:10" ht="14.4" customHeight="1">
      <c r="B30" s="16" t="s">
        <v>821</v>
      </c>
      <c r="D30" s="22" t="s">
        <v>1128</v>
      </c>
      <c r="E30" s="23"/>
      <c r="F30" s="23"/>
      <c r="G30" s="23"/>
      <c r="H30" s="23"/>
      <c r="I30" s="23"/>
      <c r="J30" s="23"/>
    </row>
    <row r="31" spans="2:10" ht="14.4" customHeight="1">
      <c r="B31" s="16" t="s">
        <v>822</v>
      </c>
      <c r="D31" s="22" t="s">
        <v>1129</v>
      </c>
      <c r="E31" s="23"/>
      <c r="F31" s="23"/>
      <c r="G31" s="23"/>
      <c r="H31" s="23"/>
      <c r="I31" s="23"/>
      <c r="J31" s="23"/>
    </row>
    <row r="32" spans="2:10" ht="14.4" customHeight="1">
      <c r="B32" s="17"/>
      <c r="D32" s="22" t="s">
        <v>1130</v>
      </c>
      <c r="E32" s="23"/>
      <c r="F32" s="23"/>
      <c r="G32" s="23"/>
      <c r="H32" s="23"/>
      <c r="I32" s="23"/>
      <c r="J32" s="23"/>
    </row>
    <row r="33" spans="2:10" ht="14.4" customHeight="1">
      <c r="B33" s="16" t="s">
        <v>823</v>
      </c>
      <c r="D33" s="22" t="s">
        <v>1141</v>
      </c>
      <c r="E33" s="23"/>
      <c r="F33" s="23"/>
      <c r="G33" s="23"/>
      <c r="H33" s="23"/>
      <c r="I33" s="23"/>
      <c r="J33" s="23"/>
    </row>
    <row r="34" spans="2:10" ht="14.4" customHeight="1">
      <c r="B34" s="16" t="s">
        <v>824</v>
      </c>
      <c r="D34" s="22" t="s">
        <v>1142</v>
      </c>
      <c r="E34" s="23"/>
      <c r="F34" s="23"/>
      <c r="G34" s="23"/>
      <c r="H34" s="23"/>
      <c r="I34" s="23"/>
      <c r="J34" s="23"/>
    </row>
    <row r="35" spans="2:10" ht="14.4" customHeight="1">
      <c r="B35" s="16" t="s">
        <v>825</v>
      </c>
      <c r="D35" s="22" t="s">
        <v>1143</v>
      </c>
      <c r="E35" s="23"/>
      <c r="F35" s="23"/>
      <c r="G35" s="23"/>
      <c r="H35" s="23"/>
      <c r="I35" s="23"/>
      <c r="J35" s="23"/>
    </row>
    <row r="36" spans="2:10" ht="14.4" customHeight="1">
      <c r="B36" s="17"/>
      <c r="D36" s="22" t="s">
        <v>1134</v>
      </c>
      <c r="E36" s="23"/>
      <c r="F36" s="23"/>
      <c r="G36" s="23"/>
      <c r="H36" s="23"/>
      <c r="I36" s="23"/>
      <c r="J36" s="23"/>
    </row>
    <row r="37" spans="2:10" ht="14.4" customHeight="1">
      <c r="B37" s="16" t="s">
        <v>826</v>
      </c>
      <c r="D37" s="22" t="s">
        <v>1128</v>
      </c>
      <c r="E37" s="23"/>
      <c r="F37" s="23"/>
      <c r="G37" s="23"/>
      <c r="H37" s="23"/>
      <c r="I37" s="23"/>
      <c r="J37" s="23"/>
    </row>
    <row r="38" spans="2:10" ht="14.4" customHeight="1">
      <c r="B38" s="16" t="s">
        <v>827</v>
      </c>
      <c r="D38" s="22" t="s">
        <v>1144</v>
      </c>
      <c r="E38" s="23"/>
      <c r="F38" s="23"/>
      <c r="G38" s="23"/>
      <c r="H38" s="23"/>
      <c r="I38" s="23"/>
      <c r="J38" s="23"/>
    </row>
    <row r="39" spans="2:10" ht="14.4" customHeight="1">
      <c r="B39" s="16" t="s">
        <v>828</v>
      </c>
      <c r="D39" s="22" t="s">
        <v>1145</v>
      </c>
      <c r="E39" s="23"/>
      <c r="F39" s="23"/>
      <c r="G39" s="23"/>
      <c r="H39" s="23"/>
      <c r="I39" s="23"/>
      <c r="J39" s="23"/>
    </row>
    <row r="40" spans="2:10" ht="14.4" customHeight="1">
      <c r="B40" s="16" t="s">
        <v>829</v>
      </c>
      <c r="D40" s="22" t="s">
        <v>1146</v>
      </c>
      <c r="E40" s="23"/>
      <c r="F40" s="23"/>
      <c r="G40" s="23"/>
      <c r="H40" s="23"/>
      <c r="I40" s="23"/>
      <c r="J40" s="23"/>
    </row>
    <row r="41" spans="2:10" ht="14.4" customHeight="1">
      <c r="B41" s="16" t="s">
        <v>830</v>
      </c>
      <c r="D41" s="22" t="s">
        <v>1147</v>
      </c>
      <c r="E41" s="23"/>
      <c r="F41" s="23"/>
      <c r="G41" s="23"/>
      <c r="H41" s="23"/>
      <c r="I41" s="23"/>
      <c r="J41" s="23"/>
    </row>
    <row r="42" spans="2:10" ht="14.4" customHeight="1">
      <c r="D42" s="22" t="s">
        <v>1148</v>
      </c>
      <c r="E42" s="23"/>
      <c r="F42" s="23"/>
      <c r="G42" s="23"/>
      <c r="H42" s="23"/>
      <c r="I42" s="23"/>
      <c r="J42" s="23"/>
    </row>
    <row r="43" spans="2:10" ht="14.4" customHeight="1">
      <c r="D43" s="22" t="s">
        <v>1149</v>
      </c>
      <c r="E43" s="23"/>
      <c r="F43" s="23"/>
      <c r="G43" s="23"/>
      <c r="H43" s="23"/>
      <c r="I43" s="23"/>
      <c r="J43" s="23"/>
    </row>
    <row r="44" spans="2:10" ht="14.4" customHeight="1">
      <c r="B44" s="18" t="s">
        <v>832</v>
      </c>
      <c r="C44" s="19"/>
      <c r="D44" s="22" t="s">
        <v>1128</v>
      </c>
      <c r="E44" s="23"/>
      <c r="F44" s="23"/>
      <c r="G44" s="23"/>
      <c r="H44" s="23"/>
      <c r="I44" s="23"/>
      <c r="J44" s="23"/>
    </row>
    <row r="45" spans="2:10" ht="14.4" customHeight="1">
      <c r="B45" s="18" t="s">
        <v>833</v>
      </c>
      <c r="C45" s="19"/>
      <c r="D45" s="22" t="s">
        <v>1135</v>
      </c>
      <c r="E45" s="23"/>
      <c r="F45" s="23"/>
      <c r="G45" s="23"/>
      <c r="H45" s="23"/>
      <c r="I45" s="23"/>
      <c r="J45" s="23"/>
    </row>
    <row r="46" spans="2:10" ht="14.4" customHeight="1">
      <c r="B46" s="18" t="s">
        <v>834</v>
      </c>
      <c r="C46" s="19"/>
      <c r="D46" s="22" t="s">
        <v>1126</v>
      </c>
      <c r="E46" s="23"/>
      <c r="F46" s="23"/>
      <c r="G46" s="23"/>
      <c r="H46" s="23"/>
      <c r="I46" s="23"/>
      <c r="J46" s="23"/>
    </row>
    <row r="47" spans="2:10" ht="14.4" customHeight="1">
      <c r="B47" s="18" t="s">
        <v>835</v>
      </c>
      <c r="C47" s="19"/>
      <c r="D47" s="22" t="s">
        <v>1136</v>
      </c>
      <c r="E47" s="23"/>
      <c r="F47" s="23"/>
      <c r="G47" s="23"/>
      <c r="H47" s="23"/>
      <c r="I47" s="23"/>
      <c r="J47" s="23"/>
    </row>
    <row r="48" spans="2:10" ht="14.4" customHeight="1">
      <c r="B48" s="18" t="s">
        <v>836</v>
      </c>
      <c r="C48" s="19"/>
      <c r="D48" s="22" t="s">
        <v>1150</v>
      </c>
      <c r="E48" s="23"/>
      <c r="F48" s="23"/>
      <c r="G48" s="23"/>
      <c r="H48" s="23"/>
      <c r="I48" s="23"/>
      <c r="J48" s="23"/>
    </row>
    <row r="49" spans="2:10" ht="14.4" customHeight="1">
      <c r="B49" s="18" t="s">
        <v>837</v>
      </c>
      <c r="C49" s="19"/>
      <c r="D49" s="22" t="s">
        <v>1151</v>
      </c>
      <c r="E49" s="23"/>
      <c r="F49" s="23"/>
      <c r="G49" s="23"/>
      <c r="H49" s="23"/>
      <c r="I49" s="23"/>
      <c r="J49" s="23"/>
    </row>
    <row r="50" spans="2:10" ht="14.4" customHeight="1">
      <c r="B50" s="18" t="s">
        <v>838</v>
      </c>
      <c r="C50" s="19"/>
      <c r="D50" s="22" t="s">
        <v>1152</v>
      </c>
      <c r="E50" s="23"/>
      <c r="F50" s="23"/>
      <c r="G50" s="23"/>
      <c r="H50" s="23"/>
      <c r="I50" s="23"/>
      <c r="J50" s="23"/>
    </row>
    <row r="51" spans="2:10" ht="14.4" customHeight="1">
      <c r="B51" s="18" t="s">
        <v>839</v>
      </c>
      <c r="C51" s="19"/>
      <c r="D51" s="22" t="s">
        <v>1153</v>
      </c>
      <c r="E51" s="23"/>
      <c r="F51" s="23"/>
      <c r="G51" s="23"/>
      <c r="H51" s="23"/>
      <c r="I51" s="23"/>
      <c r="J51" s="23"/>
    </row>
    <row r="52" spans="2:10" ht="14.4" customHeight="1">
      <c r="B52" s="18" t="s">
        <v>840</v>
      </c>
      <c r="C52" s="19"/>
      <c r="D52" s="22" t="s">
        <v>1154</v>
      </c>
      <c r="E52" s="23"/>
      <c r="F52" s="23"/>
      <c r="G52" s="23"/>
      <c r="H52" s="23"/>
      <c r="I52" s="23"/>
      <c r="J52" s="23"/>
    </row>
    <row r="53" spans="2:10" ht="14.4" customHeight="1">
      <c r="B53" s="18" t="s">
        <v>841</v>
      </c>
      <c r="C53" s="19"/>
      <c r="D53" s="22" t="s">
        <v>1125</v>
      </c>
      <c r="E53" s="23"/>
      <c r="F53" s="23"/>
      <c r="G53" s="23"/>
      <c r="H53" s="23"/>
      <c r="I53" s="23"/>
      <c r="J53" s="23"/>
    </row>
    <row r="54" spans="2:10" ht="14.4" customHeight="1">
      <c r="B54" s="18" t="s">
        <v>842</v>
      </c>
      <c r="C54" s="19"/>
      <c r="D54" s="22" t="s">
        <v>1126</v>
      </c>
      <c r="E54" s="23"/>
      <c r="F54" s="23"/>
      <c r="G54" s="23"/>
      <c r="H54" s="23"/>
      <c r="I54" s="23"/>
      <c r="J54" s="23"/>
    </row>
    <row r="55" spans="2:10" ht="14.4" customHeight="1">
      <c r="B55" s="18" t="s">
        <v>843</v>
      </c>
      <c r="C55" s="19"/>
      <c r="D55" s="22" t="s">
        <v>1127</v>
      </c>
      <c r="E55" s="23"/>
      <c r="F55" s="23"/>
      <c r="G55" s="23"/>
      <c r="H55" s="23"/>
      <c r="I55" s="23"/>
      <c r="J55" s="23"/>
    </row>
    <row r="56" spans="2:10" ht="14.4" customHeight="1">
      <c r="B56" s="18" t="s">
        <v>844</v>
      </c>
      <c r="C56" s="19"/>
      <c r="D56" s="22" t="s">
        <v>1128</v>
      </c>
      <c r="E56" s="23"/>
      <c r="F56" s="23"/>
      <c r="G56" s="23"/>
      <c r="H56" s="23"/>
      <c r="I56" s="23"/>
      <c r="J56" s="23"/>
    </row>
    <row r="57" spans="2:10" ht="14.4" customHeight="1">
      <c r="B57" s="18" t="s">
        <v>845</v>
      </c>
      <c r="C57" s="19"/>
      <c r="D57" s="22" t="s">
        <v>1129</v>
      </c>
      <c r="E57" s="23"/>
      <c r="F57" s="23"/>
      <c r="G57" s="23"/>
      <c r="H57" s="23"/>
      <c r="I57" s="23"/>
      <c r="J57" s="23"/>
    </row>
    <row r="58" spans="2:10" ht="14.4" customHeight="1">
      <c r="B58" s="18" t="s">
        <v>846</v>
      </c>
      <c r="C58" s="19"/>
      <c r="D58" s="22" t="s">
        <v>1130</v>
      </c>
      <c r="E58" s="23"/>
      <c r="F58" s="23"/>
      <c r="G58" s="23"/>
      <c r="H58" s="23"/>
      <c r="I58" s="23"/>
      <c r="J58" s="23"/>
    </row>
    <row r="59" spans="2:10" ht="14.4" customHeight="1">
      <c r="B59" s="18" t="s">
        <v>847</v>
      </c>
      <c r="C59" s="19"/>
      <c r="D59" s="22" t="s">
        <v>1155</v>
      </c>
      <c r="E59" s="23"/>
      <c r="F59" s="23"/>
      <c r="G59" s="23"/>
      <c r="H59" s="23"/>
      <c r="I59" s="23"/>
      <c r="J59" s="23"/>
    </row>
    <row r="60" spans="2:10" ht="14.4" customHeight="1">
      <c r="D60" s="22" t="s">
        <v>1156</v>
      </c>
      <c r="E60" s="23"/>
      <c r="F60" s="23"/>
      <c r="G60" s="23"/>
      <c r="H60" s="23"/>
      <c r="I60" s="23"/>
      <c r="J60" s="23"/>
    </row>
    <row r="61" spans="2:10" ht="14.4" customHeight="1">
      <c r="D61" s="22" t="s">
        <v>1157</v>
      </c>
      <c r="E61" s="23"/>
      <c r="F61" s="23"/>
      <c r="G61" s="23"/>
      <c r="H61" s="23"/>
      <c r="I61" s="23"/>
      <c r="J61" s="23"/>
    </row>
    <row r="62" spans="2:10" ht="14.4" customHeight="1">
      <c r="D62" s="22" t="s">
        <v>1134</v>
      </c>
      <c r="E62" s="23"/>
      <c r="F62" s="23"/>
      <c r="G62" s="23"/>
      <c r="H62" s="23"/>
      <c r="I62" s="23"/>
      <c r="J62" s="23"/>
    </row>
    <row r="63" spans="2:10" ht="14.4" customHeight="1">
      <c r="D63" s="22" t="s">
        <v>1128</v>
      </c>
      <c r="E63" s="23"/>
      <c r="F63" s="23"/>
      <c r="G63" s="23"/>
      <c r="H63" s="23"/>
      <c r="I63" s="23"/>
      <c r="J63" s="23"/>
    </row>
    <row r="64" spans="2:10" ht="14.4" customHeight="1">
      <c r="D64" s="22" t="s">
        <v>1135</v>
      </c>
      <c r="E64" s="23"/>
      <c r="F64" s="23"/>
      <c r="G64" s="23"/>
      <c r="H64" s="23"/>
      <c r="I64" s="23"/>
      <c r="J64" s="23"/>
    </row>
    <row r="65" spans="4:10" ht="14.4" customHeight="1">
      <c r="D65" s="22" t="s">
        <v>1126</v>
      </c>
      <c r="E65" s="23"/>
      <c r="F65" s="23"/>
      <c r="G65" s="23"/>
      <c r="H65" s="23"/>
      <c r="I65" s="23"/>
      <c r="J65" s="23"/>
    </row>
    <row r="66" spans="4:10" ht="14.4" customHeight="1">
      <c r="D66" s="22" t="s">
        <v>1136</v>
      </c>
      <c r="E66" s="23"/>
      <c r="F66" s="23"/>
      <c r="G66" s="23"/>
      <c r="H66" s="23"/>
      <c r="I66" s="23"/>
      <c r="J66" s="23"/>
    </row>
    <row r="67" spans="4:10" ht="14.4" customHeight="1">
      <c r="D67" s="22" t="s">
        <v>1158</v>
      </c>
      <c r="E67" s="23"/>
      <c r="F67" s="23"/>
      <c r="G67" s="23"/>
      <c r="H67" s="23"/>
      <c r="I67" s="23"/>
      <c r="J67" s="23"/>
    </row>
    <row r="68" spans="4:10" ht="14.4" customHeight="1">
      <c r="D68" s="22" t="s">
        <v>1159</v>
      </c>
      <c r="E68" s="23"/>
      <c r="F68" s="23"/>
      <c r="G68" s="23"/>
      <c r="H68" s="23"/>
      <c r="I68" s="23"/>
      <c r="J68" s="23"/>
    </row>
    <row r="69" spans="4:10" ht="14.4" customHeight="1">
      <c r="D69" s="22" t="s">
        <v>1160</v>
      </c>
      <c r="E69" s="23"/>
      <c r="F69" s="23"/>
      <c r="G69" s="23"/>
      <c r="H69" s="23"/>
      <c r="I69" s="23"/>
      <c r="J69" s="23"/>
    </row>
    <row r="70" spans="4:10" ht="14.4" customHeight="1">
      <c r="D70" s="22" t="s">
        <v>1161</v>
      </c>
      <c r="E70" s="23"/>
      <c r="F70" s="23"/>
      <c r="G70" s="23"/>
      <c r="H70" s="23"/>
      <c r="I70" s="23"/>
      <c r="J70" s="23"/>
    </row>
    <row r="71" spans="4:10" ht="14.4" customHeight="1">
      <c r="D71" s="22" t="s">
        <v>1162</v>
      </c>
      <c r="E71" s="23"/>
      <c r="F71" s="23"/>
      <c r="G71" s="23"/>
      <c r="H71" s="23"/>
      <c r="I71" s="23"/>
      <c r="J71" s="23"/>
    </row>
    <row r="72" spans="4:10" ht="14.4" customHeight="1">
      <c r="E72" s="23"/>
      <c r="F72" s="23"/>
      <c r="G72" s="23"/>
      <c r="H72" s="23"/>
      <c r="I72" s="23"/>
      <c r="J72" s="23"/>
    </row>
    <row r="73" spans="4:10" ht="14.4">
      <c r="E73" s="23"/>
      <c r="F73" s="23"/>
      <c r="G73" s="23"/>
      <c r="H73" s="23"/>
      <c r="I73" s="23"/>
      <c r="J73" s="23"/>
    </row>
    <row r="74" spans="4:10" ht="14.4"/>
    <row r="75" spans="4:10" ht="14.4"/>
    <row r="76" spans="4:10" ht="14.4"/>
    <row r="77" spans="4:10" ht="14.4"/>
    <row r="78" spans="4:10" ht="14.4"/>
    <row r="79" spans="4:10" ht="14.4"/>
    <row r="80" spans="4:10" ht="14.4"/>
    <row r="81" ht="14.4"/>
    <row r="82" ht="14.4"/>
    <row r="83" ht="14.4"/>
    <row r="84" ht="14.4"/>
    <row r="85" ht="14.4"/>
    <row r="86" ht="14.4"/>
    <row r="87" ht="14.4"/>
    <row r="88" ht="14.4"/>
    <row r="89" ht="14.4"/>
    <row r="90" ht="14.4"/>
    <row r="91" ht="14.4"/>
    <row r="92" ht="14.4"/>
    <row r="93" ht="14.4"/>
    <row r="94" ht="14.4"/>
    <row r="95" ht="14.4"/>
    <row r="96" ht="14.4"/>
    <row r="97" ht="14.4"/>
    <row r="98" ht="14.4"/>
    <row r="99" ht="14.4"/>
    <row r="100" ht="14.4"/>
    <row r="101" ht="14.4"/>
    <row r="102" ht="14.4"/>
    <row r="103" ht="14.4"/>
    <row r="104" ht="14.4"/>
    <row r="105" ht="14.4"/>
    <row r="106" ht="14.4"/>
    <row r="107" ht="14.4"/>
    <row r="108" ht="14.4"/>
    <row r="109" ht="14.4"/>
    <row r="110" ht="14.4"/>
    <row r="111" ht="14.4"/>
    <row r="112" ht="14.4"/>
    <row r="113" ht="14.4"/>
    <row r="114" ht="14.4"/>
    <row r="115" ht="14.4"/>
    <row r="116" ht="14.4"/>
    <row r="117" ht="14.4"/>
    <row r="118" ht="14.4"/>
    <row r="119" ht="14.4"/>
    <row r="120" ht="14.4"/>
    <row r="121" ht="14.4"/>
    <row r="122" ht="14.4"/>
    <row r="123" ht="14.4"/>
    <row r="124" ht="14.4"/>
    <row r="125" ht="14.4"/>
    <row r="126" ht="14.4"/>
    <row r="127" ht="14.4"/>
    <row r="128" ht="14.4"/>
    <row r="129" ht="14.4"/>
    <row r="130" ht="14.4"/>
    <row r="131" ht="14.4"/>
    <row r="132" ht="14.4"/>
    <row r="133" ht="14.4"/>
    <row r="134" ht="14.4"/>
    <row r="135" ht="14.4"/>
    <row r="136" ht="14.4"/>
    <row r="137" ht="14.4"/>
    <row r="138" ht="14.4"/>
    <row r="139" ht="14.4"/>
    <row r="140" ht="14.4"/>
    <row r="141" ht="14.4"/>
    <row r="142" ht="14.4"/>
    <row r="143" ht="14.4"/>
    <row r="144" ht="14.4"/>
    <row r="145" ht="14.4"/>
    <row r="146" ht="14.4"/>
    <row r="147" ht="14.4"/>
    <row r="148" ht="14.4"/>
    <row r="149" ht="14.4"/>
    <row r="150" ht="14.4"/>
    <row r="151" ht="14.4"/>
    <row r="152" ht="14.4"/>
    <row r="153" ht="14.4"/>
    <row r="154" ht="14.4"/>
    <row r="155" ht="14.4"/>
    <row r="156" ht="14.4"/>
    <row r="157" ht="14.4"/>
    <row r="158" ht="14.4"/>
    <row r="159" ht="14.4"/>
    <row r="160" ht="14.4"/>
    <row r="161" ht="14.4"/>
    <row r="162" ht="14.4"/>
    <row r="163" ht="14.4"/>
    <row r="164" ht="14.4"/>
    <row r="165" ht="14.4"/>
    <row r="166" ht="14.4"/>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4.4"/>
  <cols>
    <col min="2" max="2" width="101.44140625" customWidth="1"/>
  </cols>
  <sheetData>
    <row r="3" spans="2:2">
      <c r="B3" s="2"/>
    </row>
    <row r="5" spans="2:2" ht="409.6">
      <c r="B5" s="2" t="s">
        <v>769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M90"/>
  <sheetViews>
    <sheetView topLeftCell="A35" workbookViewId="0">
      <selection activeCell="B40" sqref="B40"/>
    </sheetView>
  </sheetViews>
  <sheetFormatPr baseColWidth="10" defaultRowHeight="14.4"/>
  <cols>
    <col min="2" max="2" width="15.5546875" customWidth="1"/>
    <col min="3" max="4" width="0" hidden="1" customWidth="1"/>
    <col min="5" max="5" width="20.6640625" customWidth="1"/>
    <col min="9" max="9" width="71.33203125" bestFit="1" customWidth="1"/>
    <col min="10" max="10" width="18.33203125" bestFit="1" customWidth="1"/>
    <col min="11" max="11" width="20.5546875" bestFit="1" customWidth="1"/>
    <col min="12" max="12" width="17.109375" bestFit="1" customWidth="1"/>
    <col min="13" max="13" width="11.33203125" customWidth="1"/>
  </cols>
  <sheetData>
    <row r="1" spans="1:7">
      <c r="A1" s="37" t="s">
        <v>760</v>
      </c>
      <c r="B1" s="37" t="s">
        <v>1187</v>
      </c>
      <c r="C1" s="37" t="s">
        <v>1188</v>
      </c>
      <c r="D1" s="37" t="s">
        <v>1189</v>
      </c>
      <c r="E1" s="37" t="s">
        <v>1190</v>
      </c>
      <c r="F1" s="37" t="s">
        <v>403</v>
      </c>
      <c r="G1" s="37" t="s">
        <v>1341</v>
      </c>
    </row>
    <row r="2" spans="1:7" ht="55.2">
      <c r="A2" s="38" t="s">
        <v>1191</v>
      </c>
      <c r="B2" s="38" t="s">
        <v>1192</v>
      </c>
      <c r="C2" s="38">
        <v>1</v>
      </c>
      <c r="D2" s="38" t="s">
        <v>1193</v>
      </c>
      <c r="E2" s="39" t="s">
        <v>1194</v>
      </c>
      <c r="F2" s="38" t="s">
        <v>404</v>
      </c>
      <c r="G2" s="38" t="s">
        <v>407</v>
      </c>
    </row>
    <row r="3" spans="1:7" ht="43.2">
      <c r="A3" s="38" t="s">
        <v>1195</v>
      </c>
      <c r="B3" s="38" t="s">
        <v>1196</v>
      </c>
      <c r="C3" s="38">
        <v>2</v>
      </c>
      <c r="D3" s="40" t="s">
        <v>1197</v>
      </c>
      <c r="E3" s="38" t="s">
        <v>1198</v>
      </c>
      <c r="F3" s="38" t="s">
        <v>404</v>
      </c>
      <c r="G3" s="38" t="s">
        <v>407</v>
      </c>
    </row>
    <row r="4" spans="1:7" ht="43.2">
      <c r="A4" s="38" t="s">
        <v>1199</v>
      </c>
      <c r="B4" s="39" t="s">
        <v>1200</v>
      </c>
      <c r="C4" s="38" t="s">
        <v>1201</v>
      </c>
      <c r="D4" s="40" t="s">
        <v>1202</v>
      </c>
      <c r="E4" s="38" t="s">
        <v>1203</v>
      </c>
      <c r="F4" s="38" t="s">
        <v>404</v>
      </c>
      <c r="G4" s="38" t="s">
        <v>407</v>
      </c>
    </row>
    <row r="5" spans="1:7" ht="43.2">
      <c r="A5" s="38" t="s">
        <v>1204</v>
      </c>
      <c r="B5" s="38" t="s">
        <v>1205</v>
      </c>
      <c r="C5" s="38">
        <v>1</v>
      </c>
      <c r="D5" s="38" t="s">
        <v>1206</v>
      </c>
      <c r="E5" s="38" t="s">
        <v>1207</v>
      </c>
      <c r="F5" s="38" t="s">
        <v>404</v>
      </c>
      <c r="G5" s="38" t="s">
        <v>407</v>
      </c>
    </row>
    <row r="6" spans="1:7" ht="43.2">
      <c r="A6" s="38" t="s">
        <v>1208</v>
      </c>
      <c r="B6" s="38" t="s">
        <v>1209</v>
      </c>
      <c r="C6" s="38">
        <v>2</v>
      </c>
      <c r="D6" s="38" t="s">
        <v>1206</v>
      </c>
      <c r="E6" s="38" t="s">
        <v>1210</v>
      </c>
      <c r="F6" s="38" t="s">
        <v>404</v>
      </c>
      <c r="G6" s="38" t="s">
        <v>407</v>
      </c>
    </row>
    <row r="7" spans="1:7" ht="43.2">
      <c r="A7" s="38" t="s">
        <v>1211</v>
      </c>
      <c r="B7" s="38" t="s">
        <v>1212</v>
      </c>
      <c r="C7" s="38" t="s">
        <v>1213</v>
      </c>
      <c r="D7" s="40" t="s">
        <v>1214</v>
      </c>
      <c r="E7" s="38" t="s">
        <v>1215</v>
      </c>
      <c r="F7" s="38" t="s">
        <v>404</v>
      </c>
      <c r="G7" s="38" t="s">
        <v>407</v>
      </c>
    </row>
    <row r="8" spans="1:7" ht="43.2">
      <c r="A8" s="38" t="s">
        <v>1216</v>
      </c>
      <c r="B8" s="38" t="s">
        <v>1217</v>
      </c>
      <c r="C8" s="38" t="s">
        <v>1201</v>
      </c>
      <c r="D8" s="40" t="s">
        <v>1218</v>
      </c>
      <c r="E8" s="38" t="s">
        <v>1219</v>
      </c>
      <c r="F8" s="38" t="s">
        <v>404</v>
      </c>
      <c r="G8" s="38" t="s">
        <v>407</v>
      </c>
    </row>
    <row r="9" spans="1:7" ht="43.2">
      <c r="A9" s="38" t="s">
        <v>1220</v>
      </c>
      <c r="B9" s="38" t="s">
        <v>1221</v>
      </c>
      <c r="C9" s="38" t="s">
        <v>1201</v>
      </c>
      <c r="D9" s="38" t="s">
        <v>1206</v>
      </c>
      <c r="E9" s="38" t="s">
        <v>1222</v>
      </c>
      <c r="F9" s="38" t="s">
        <v>404</v>
      </c>
      <c r="G9" s="38" t="s">
        <v>407</v>
      </c>
    </row>
    <row r="10" spans="1:7" ht="57.6">
      <c r="A10" s="38" t="s">
        <v>1223</v>
      </c>
      <c r="B10" s="38" t="s">
        <v>1224</v>
      </c>
      <c r="C10" s="38">
        <v>1</v>
      </c>
      <c r="D10" s="38" t="s">
        <v>1206</v>
      </c>
      <c r="E10" s="38" t="s">
        <v>1225</v>
      </c>
      <c r="F10" s="38" t="s">
        <v>404</v>
      </c>
      <c r="G10" s="38" t="s">
        <v>407</v>
      </c>
    </row>
    <row r="11" spans="1:7" ht="57.6">
      <c r="A11" s="38" t="s">
        <v>1226</v>
      </c>
      <c r="B11" s="38" t="s">
        <v>1227</v>
      </c>
      <c r="C11" s="38">
        <v>1</v>
      </c>
      <c r="D11" s="40" t="s">
        <v>1228</v>
      </c>
      <c r="E11" s="38" t="s">
        <v>1229</v>
      </c>
      <c r="F11" s="38" t="s">
        <v>404</v>
      </c>
      <c r="G11" s="38" t="s">
        <v>407</v>
      </c>
    </row>
    <row r="12" spans="1:7" ht="57.6">
      <c r="A12" s="38" t="s">
        <v>1230</v>
      </c>
      <c r="B12" s="40" t="s">
        <v>1231</v>
      </c>
      <c r="C12" s="38" t="s">
        <v>1201</v>
      </c>
      <c r="D12" s="40" t="s">
        <v>1232</v>
      </c>
      <c r="E12" s="38" t="s">
        <v>1233</v>
      </c>
      <c r="F12" s="38" t="s">
        <v>404</v>
      </c>
      <c r="G12" s="38" t="s">
        <v>407</v>
      </c>
    </row>
    <row r="13" spans="1:7" ht="43.2">
      <c r="A13" s="38" t="s">
        <v>1234</v>
      </c>
      <c r="B13" s="41" t="s">
        <v>1235</v>
      </c>
      <c r="C13" s="38">
        <v>2</v>
      </c>
      <c r="D13" s="40" t="s">
        <v>1236</v>
      </c>
      <c r="E13" s="38" t="s">
        <v>1237</v>
      </c>
      <c r="F13" s="38" t="s">
        <v>404</v>
      </c>
      <c r="G13" s="38" t="s">
        <v>407</v>
      </c>
    </row>
    <row r="14" spans="1:7" ht="57.6">
      <c r="A14" s="38" t="s">
        <v>1238</v>
      </c>
      <c r="B14" s="38" t="s">
        <v>1239</v>
      </c>
      <c r="C14" s="38" t="s">
        <v>1201</v>
      </c>
      <c r="D14" s="38" t="s">
        <v>1206</v>
      </c>
      <c r="E14" s="38" t="s">
        <v>1240</v>
      </c>
      <c r="F14" s="38" t="s">
        <v>404</v>
      </c>
      <c r="G14" s="38" t="s">
        <v>407</v>
      </c>
    </row>
    <row r="15" spans="1:7" ht="72">
      <c r="A15" s="38" t="s">
        <v>1241</v>
      </c>
      <c r="B15" s="38" t="s">
        <v>1242</v>
      </c>
      <c r="C15" s="38" t="s">
        <v>1201</v>
      </c>
      <c r="D15" s="38" t="s">
        <v>1206</v>
      </c>
      <c r="E15" s="38" t="s">
        <v>1243</v>
      </c>
      <c r="F15" s="38" t="s">
        <v>404</v>
      </c>
      <c r="G15" s="38" t="s">
        <v>407</v>
      </c>
    </row>
    <row r="16" spans="1:7" ht="28.8">
      <c r="A16" s="38" t="s">
        <v>1244</v>
      </c>
      <c r="B16" s="38" t="s">
        <v>1245</v>
      </c>
      <c r="C16" s="38" t="s">
        <v>1246</v>
      </c>
      <c r="D16" s="40" t="s">
        <v>1247</v>
      </c>
      <c r="E16" s="38" t="s">
        <v>1248</v>
      </c>
      <c r="F16" s="38" t="s">
        <v>404</v>
      </c>
      <c r="G16" s="38" t="s">
        <v>407</v>
      </c>
    </row>
    <row r="17" spans="1:8" ht="43.2">
      <c r="A17" s="38" t="s">
        <v>1249</v>
      </c>
      <c r="B17" s="38" t="s">
        <v>1250</v>
      </c>
      <c r="C17" s="38">
        <v>2</v>
      </c>
      <c r="D17" s="38" t="s">
        <v>1206</v>
      </c>
      <c r="E17" s="38" t="s">
        <v>1251</v>
      </c>
      <c r="F17" s="38" t="s">
        <v>404</v>
      </c>
      <c r="G17" s="38" t="s">
        <v>407</v>
      </c>
    </row>
    <row r="18" spans="1:8" ht="57.6">
      <c r="A18" s="38" t="s">
        <v>1252</v>
      </c>
      <c r="B18" s="38" t="s">
        <v>1253</v>
      </c>
      <c r="C18" s="38">
        <v>2</v>
      </c>
      <c r="D18" s="40" t="s">
        <v>1254</v>
      </c>
      <c r="E18" s="38" t="s">
        <v>1255</v>
      </c>
      <c r="F18" s="38" t="s">
        <v>404</v>
      </c>
      <c r="G18" s="38" t="s">
        <v>407</v>
      </c>
    </row>
    <row r="19" spans="1:8" ht="28.8">
      <c r="A19" s="38" t="s">
        <v>1256</v>
      </c>
      <c r="B19" s="38" t="s">
        <v>1257</v>
      </c>
      <c r="C19" s="38">
        <v>1</v>
      </c>
      <c r="D19" s="40" t="s">
        <v>1258</v>
      </c>
      <c r="E19" s="38" t="s">
        <v>1259</v>
      </c>
      <c r="F19" s="38" t="s">
        <v>404</v>
      </c>
      <c r="G19" s="38" t="s">
        <v>407</v>
      </c>
    </row>
    <row r="20" spans="1:8" ht="27.6">
      <c r="A20" s="38" t="s">
        <v>1260</v>
      </c>
      <c r="B20" s="39" t="s">
        <v>1261</v>
      </c>
      <c r="C20" s="38" t="s">
        <v>1201</v>
      </c>
      <c r="D20" s="40" t="s">
        <v>1262</v>
      </c>
      <c r="E20" s="38" t="s">
        <v>1263</v>
      </c>
      <c r="F20" s="38" t="s">
        <v>404</v>
      </c>
      <c r="G20" s="38" t="s">
        <v>407</v>
      </c>
    </row>
    <row r="21" spans="1:8" ht="43.2">
      <c r="A21" s="38" t="s">
        <v>1264</v>
      </c>
      <c r="B21" s="38" t="s">
        <v>1265</v>
      </c>
      <c r="C21" s="38">
        <v>2</v>
      </c>
      <c r="D21" s="38" t="s">
        <v>1206</v>
      </c>
      <c r="E21" s="38" t="s">
        <v>1266</v>
      </c>
      <c r="F21" s="38" t="s">
        <v>404</v>
      </c>
      <c r="G21" s="38" t="s">
        <v>407</v>
      </c>
    </row>
    <row r="22" spans="1:8" ht="28.8">
      <c r="A22" s="38" t="s">
        <v>1267</v>
      </c>
      <c r="B22" s="38" t="s">
        <v>1268</v>
      </c>
      <c r="C22" s="38">
        <v>1</v>
      </c>
      <c r="D22" s="38" t="s">
        <v>1206</v>
      </c>
      <c r="E22" s="38" t="s">
        <v>1269</v>
      </c>
      <c r="F22" s="38" t="s">
        <v>404</v>
      </c>
      <c r="G22" s="38" t="s">
        <v>407</v>
      </c>
    </row>
    <row r="23" spans="1:8" ht="43.2">
      <c r="A23" s="38" t="s">
        <v>1270</v>
      </c>
      <c r="B23" s="40" t="s">
        <v>1271</v>
      </c>
      <c r="C23" s="38">
        <v>2</v>
      </c>
      <c r="D23" s="40" t="s">
        <v>1258</v>
      </c>
      <c r="E23" s="38" t="s">
        <v>1272</v>
      </c>
      <c r="F23" s="38" t="s">
        <v>404</v>
      </c>
      <c r="G23" s="38" t="s">
        <v>407</v>
      </c>
    </row>
    <row r="24" spans="1:8" ht="43.2">
      <c r="A24" s="38" t="s">
        <v>1273</v>
      </c>
      <c r="B24" s="38" t="s">
        <v>1274</v>
      </c>
      <c r="C24" s="38" t="s">
        <v>1213</v>
      </c>
      <c r="D24" s="38" t="s">
        <v>1206</v>
      </c>
      <c r="E24" s="38" t="s">
        <v>1275</v>
      </c>
      <c r="F24" s="38" t="s">
        <v>404</v>
      </c>
      <c r="G24" s="38" t="s">
        <v>407</v>
      </c>
    </row>
    <row r="25" spans="1:8" ht="43.2">
      <c r="A25" s="38" t="s">
        <v>1276</v>
      </c>
      <c r="B25" s="38" t="s">
        <v>1277</v>
      </c>
      <c r="C25" s="38">
        <v>2</v>
      </c>
      <c r="D25" s="38" t="s">
        <v>1206</v>
      </c>
      <c r="E25" s="38" t="s">
        <v>1278</v>
      </c>
      <c r="F25" s="38" t="s">
        <v>404</v>
      </c>
      <c r="G25" s="38" t="s">
        <v>407</v>
      </c>
    </row>
    <row r="26" spans="1:8" ht="42">
      <c r="A26" s="38" t="s">
        <v>1279</v>
      </c>
      <c r="B26" s="40" t="s">
        <v>1280</v>
      </c>
      <c r="C26" s="38" t="s">
        <v>1213</v>
      </c>
      <c r="D26" s="40" t="s">
        <v>1281</v>
      </c>
      <c r="E26" s="38" t="s">
        <v>1282</v>
      </c>
      <c r="F26" s="38" t="s">
        <v>404</v>
      </c>
      <c r="G26" s="38" t="s">
        <v>407</v>
      </c>
    </row>
    <row r="27" spans="1:8" ht="28.8">
      <c r="A27" s="38" t="s">
        <v>1283</v>
      </c>
      <c r="B27" s="38" t="s">
        <v>1284</v>
      </c>
      <c r="C27" s="38" t="s">
        <v>1201</v>
      </c>
      <c r="D27" s="40" t="s">
        <v>1285</v>
      </c>
      <c r="E27" s="38" t="s">
        <v>1286</v>
      </c>
      <c r="F27" s="38" t="s">
        <v>404</v>
      </c>
      <c r="G27" s="38" t="s">
        <v>407</v>
      </c>
    </row>
    <row r="28" spans="1:8" ht="43.2">
      <c r="A28" s="38" t="s">
        <v>1287</v>
      </c>
      <c r="B28" s="38" t="s">
        <v>1288</v>
      </c>
      <c r="C28" s="38">
        <v>3</v>
      </c>
      <c r="D28" s="38" t="s">
        <v>1206</v>
      </c>
      <c r="E28" s="38" t="s">
        <v>1289</v>
      </c>
      <c r="F28" s="38" t="s">
        <v>404</v>
      </c>
      <c r="G28" s="38" t="s">
        <v>407</v>
      </c>
      <c r="H28" s="38" t="s">
        <v>1637</v>
      </c>
    </row>
    <row r="29" spans="1:8" ht="43.2">
      <c r="A29" s="38" t="s">
        <v>1290</v>
      </c>
      <c r="B29" s="38" t="s">
        <v>1291</v>
      </c>
      <c r="C29" s="38">
        <v>3</v>
      </c>
      <c r="D29" s="38" t="s">
        <v>1206</v>
      </c>
      <c r="E29" s="38" t="s">
        <v>1292</v>
      </c>
      <c r="F29" s="38" t="s">
        <v>404</v>
      </c>
      <c r="G29" s="38" t="s">
        <v>407</v>
      </c>
    </row>
    <row r="30" spans="1:8" ht="43.2">
      <c r="A30" s="38" t="s">
        <v>1293</v>
      </c>
      <c r="B30" s="40" t="s">
        <v>1294</v>
      </c>
      <c r="C30" s="38">
        <v>1</v>
      </c>
      <c r="D30" s="40" t="s">
        <v>1295</v>
      </c>
      <c r="E30" s="38" t="s">
        <v>1296</v>
      </c>
      <c r="F30" s="38" t="s">
        <v>404</v>
      </c>
      <c r="G30" s="38" t="s">
        <v>407</v>
      </c>
      <c r="H30" s="66" t="s">
        <v>1657</v>
      </c>
    </row>
    <row r="31" spans="1:8" ht="57.6">
      <c r="A31" s="38" t="s">
        <v>1297</v>
      </c>
      <c r="B31" s="38" t="s">
        <v>1298</v>
      </c>
      <c r="C31" s="38" t="s">
        <v>1201</v>
      </c>
      <c r="D31" s="40" t="s">
        <v>1299</v>
      </c>
      <c r="E31" s="38" t="s">
        <v>1300</v>
      </c>
      <c r="F31" s="38" t="s">
        <v>404</v>
      </c>
      <c r="G31" s="38" t="s">
        <v>407</v>
      </c>
      <c r="H31" s="66" t="s">
        <v>1657</v>
      </c>
    </row>
    <row r="32" spans="1:8" ht="57.6">
      <c r="A32" s="38" t="s">
        <v>1301</v>
      </c>
      <c r="B32" s="38" t="s">
        <v>1302</v>
      </c>
      <c r="C32" s="38">
        <v>2</v>
      </c>
      <c r="D32" s="38" t="s">
        <v>1206</v>
      </c>
      <c r="E32" s="38" t="s">
        <v>1303</v>
      </c>
      <c r="F32" s="38" t="s">
        <v>404</v>
      </c>
      <c r="G32" s="38" t="s">
        <v>407</v>
      </c>
      <c r="H32" s="66" t="s">
        <v>1657</v>
      </c>
    </row>
    <row r="33" spans="1:13" ht="43.2">
      <c r="A33" s="38" t="s">
        <v>1304</v>
      </c>
      <c r="B33" s="40" t="s">
        <v>1305</v>
      </c>
      <c r="C33" s="38" t="s">
        <v>1201</v>
      </c>
      <c r="D33" s="40" t="s">
        <v>1306</v>
      </c>
      <c r="E33" s="38" t="s">
        <v>1307</v>
      </c>
      <c r="F33" s="38" t="s">
        <v>404</v>
      </c>
      <c r="G33" s="38" t="s">
        <v>407</v>
      </c>
      <c r="H33" s="66" t="s">
        <v>1657</v>
      </c>
    </row>
    <row r="34" spans="1:13" ht="43.2">
      <c r="A34" s="38" t="s">
        <v>1308</v>
      </c>
      <c r="B34" s="40" t="s">
        <v>1309</v>
      </c>
      <c r="C34" s="38" t="s">
        <v>1201</v>
      </c>
      <c r="D34" s="40" t="s">
        <v>1310</v>
      </c>
      <c r="E34" s="38" t="s">
        <v>1311</v>
      </c>
      <c r="F34" s="38" t="s">
        <v>404</v>
      </c>
      <c r="G34" s="38" t="s">
        <v>407</v>
      </c>
      <c r="H34" s="66" t="s">
        <v>1657</v>
      </c>
      <c r="I34" s="16" t="s">
        <v>1651</v>
      </c>
      <c r="J34" s="16" t="s">
        <v>1653</v>
      </c>
      <c r="K34" s="16" t="s">
        <v>1654</v>
      </c>
      <c r="L34" s="16" t="s">
        <v>1652</v>
      </c>
      <c r="M34" s="16" t="s">
        <v>1655</v>
      </c>
    </row>
    <row r="35" spans="1:13" ht="43.2">
      <c r="A35" s="38" t="s">
        <v>1312</v>
      </c>
      <c r="B35" s="38" t="s">
        <v>1313</v>
      </c>
      <c r="C35" s="38">
        <v>3</v>
      </c>
      <c r="D35" s="38" t="s">
        <v>1206</v>
      </c>
      <c r="E35" s="38" t="s">
        <v>1314</v>
      </c>
      <c r="F35" s="38" t="s">
        <v>404</v>
      </c>
      <c r="G35" s="38" t="s">
        <v>407</v>
      </c>
      <c r="H35" s="66" t="s">
        <v>1657</v>
      </c>
    </row>
    <row r="36" spans="1:13" ht="28.8">
      <c r="A36" s="38" t="s">
        <v>1315</v>
      </c>
      <c r="B36" s="38" t="s">
        <v>1316</v>
      </c>
      <c r="C36" s="38">
        <v>1</v>
      </c>
      <c r="D36" s="38" t="s">
        <v>1206</v>
      </c>
      <c r="E36" s="38" t="s">
        <v>1317</v>
      </c>
      <c r="F36" s="38" t="s">
        <v>404</v>
      </c>
      <c r="G36" s="38" t="s">
        <v>407</v>
      </c>
      <c r="H36" s="66" t="s">
        <v>1657</v>
      </c>
    </row>
    <row r="37" spans="1:13" ht="28.8">
      <c r="A37" s="38" t="s">
        <v>1318</v>
      </c>
      <c r="B37" s="40" t="s">
        <v>1319</v>
      </c>
      <c r="C37" s="38" t="s">
        <v>1201</v>
      </c>
      <c r="D37" s="40" t="s">
        <v>1320</v>
      </c>
      <c r="E37" s="38" t="s">
        <v>1321</v>
      </c>
      <c r="F37" s="38" t="s">
        <v>404</v>
      </c>
      <c r="G37" s="38" t="s">
        <v>407</v>
      </c>
      <c r="H37" s="66" t="s">
        <v>1657</v>
      </c>
    </row>
    <row r="38" spans="1:13" ht="28.8">
      <c r="A38" s="38" t="s">
        <v>1322</v>
      </c>
      <c r="B38" s="39" t="s">
        <v>1323</v>
      </c>
      <c r="C38" s="38" t="s">
        <v>1246</v>
      </c>
      <c r="D38" s="40" t="s">
        <v>1324</v>
      </c>
      <c r="E38" s="38" t="s">
        <v>1325</v>
      </c>
      <c r="F38" s="38" t="s">
        <v>404</v>
      </c>
      <c r="G38" s="38" t="s">
        <v>407</v>
      </c>
      <c r="H38" s="66" t="s">
        <v>1657</v>
      </c>
      <c r="I38" t="s">
        <v>1656</v>
      </c>
    </row>
    <row r="39" spans="1:13" ht="43.2">
      <c r="A39" s="38" t="s">
        <v>1326</v>
      </c>
      <c r="B39" s="40" t="s">
        <v>1327</v>
      </c>
      <c r="C39" s="38">
        <v>1</v>
      </c>
      <c r="D39" s="40" t="s">
        <v>1328</v>
      </c>
      <c r="E39" s="38" t="s">
        <v>1329</v>
      </c>
      <c r="F39" s="38" t="s">
        <v>404</v>
      </c>
      <c r="G39" s="38" t="s">
        <v>407</v>
      </c>
      <c r="H39" s="66" t="s">
        <v>1657</v>
      </c>
      <c r="I39" t="s">
        <v>1658</v>
      </c>
    </row>
    <row r="40" spans="1:13" ht="43.2">
      <c r="A40" s="38" t="s">
        <v>1330</v>
      </c>
      <c r="B40" s="38" t="s">
        <v>1331</v>
      </c>
      <c r="C40" s="38">
        <v>2</v>
      </c>
      <c r="D40" s="38" t="s">
        <v>1206</v>
      </c>
      <c r="E40" s="38" t="s">
        <v>1332</v>
      </c>
      <c r="F40" s="38" t="s">
        <v>404</v>
      </c>
      <c r="G40" s="38" t="s">
        <v>407</v>
      </c>
    </row>
    <row r="41" spans="1:13" ht="43.2">
      <c r="A41" s="38" t="s">
        <v>1333</v>
      </c>
      <c r="B41" s="38" t="s">
        <v>1334</v>
      </c>
      <c r="C41" s="38">
        <v>3</v>
      </c>
      <c r="D41" s="38" t="s">
        <v>1206</v>
      </c>
      <c r="E41" s="38" t="s">
        <v>1335</v>
      </c>
    </row>
    <row r="42" spans="1:13" ht="28.8">
      <c r="A42" s="38" t="s">
        <v>1336</v>
      </c>
      <c r="B42" s="38" t="s">
        <v>1337</v>
      </c>
      <c r="C42" s="38" t="s">
        <v>1201</v>
      </c>
      <c r="D42" s="38" t="s">
        <v>1206</v>
      </c>
      <c r="E42" s="38" t="s">
        <v>1338</v>
      </c>
    </row>
    <row r="44" spans="1:13">
      <c r="I44" t="s">
        <v>1659</v>
      </c>
    </row>
    <row r="45" spans="1:13">
      <c r="I45" t="s">
        <v>1660</v>
      </c>
    </row>
    <row r="46" spans="1:13">
      <c r="I46" t="s">
        <v>1661</v>
      </c>
    </row>
    <row r="47" spans="1:13">
      <c r="I47" t="s">
        <v>1662</v>
      </c>
    </row>
    <row r="48" spans="1:13">
      <c r="I48" t="s">
        <v>1663</v>
      </c>
    </row>
    <row r="49" spans="9:9">
      <c r="I49" t="s">
        <v>1664</v>
      </c>
    </row>
    <row r="50" spans="9:9">
      <c r="I50" t="s">
        <v>1665</v>
      </c>
    </row>
    <row r="51" spans="9:9">
      <c r="I51" t="s">
        <v>1666</v>
      </c>
    </row>
    <row r="52" spans="9:9">
      <c r="I52" t="s">
        <v>1667</v>
      </c>
    </row>
    <row r="53" spans="9:9">
      <c r="I53" t="s">
        <v>1668</v>
      </c>
    </row>
    <row r="54" spans="9:9">
      <c r="I54" t="s">
        <v>1669</v>
      </c>
    </row>
    <row r="55" spans="9:9">
      <c r="I55" t="s">
        <v>1670</v>
      </c>
    </row>
    <row r="56" spans="9:9">
      <c r="I56" t="s">
        <v>1671</v>
      </c>
    </row>
    <row r="57" spans="9:9">
      <c r="I57" t="s">
        <v>1672</v>
      </c>
    </row>
    <row r="58" spans="9:9">
      <c r="I58" t="s">
        <v>1673</v>
      </c>
    </row>
    <row r="59" spans="9:9">
      <c r="I59" t="s">
        <v>1674</v>
      </c>
    </row>
    <row r="60" spans="9:9">
      <c r="I60" t="s">
        <v>1675</v>
      </c>
    </row>
    <row r="61" spans="9:9">
      <c r="I61" t="s">
        <v>1676</v>
      </c>
    </row>
    <row r="62" spans="9:9">
      <c r="I62" t="s">
        <v>1677</v>
      </c>
    </row>
    <row r="63" spans="9:9">
      <c r="I63" t="s">
        <v>1678</v>
      </c>
    </row>
    <row r="64" spans="9:9">
      <c r="I64" t="s">
        <v>1679</v>
      </c>
    </row>
    <row r="65" spans="9:9">
      <c r="I65" t="s">
        <v>1680</v>
      </c>
    </row>
    <row r="66" spans="9:9">
      <c r="I66" t="s">
        <v>1681</v>
      </c>
    </row>
    <row r="67" spans="9:9">
      <c r="I67" t="s">
        <v>1682</v>
      </c>
    </row>
    <row r="68" spans="9:9">
      <c r="I68" t="s">
        <v>1683</v>
      </c>
    </row>
    <row r="69" spans="9:9">
      <c r="I69" t="s">
        <v>1684</v>
      </c>
    </row>
    <row r="70" spans="9:9">
      <c r="I70" t="s">
        <v>1685</v>
      </c>
    </row>
    <row r="71" spans="9:9">
      <c r="I71" t="s">
        <v>1686</v>
      </c>
    </row>
    <row r="72" spans="9:9">
      <c r="I72" t="s">
        <v>1687</v>
      </c>
    </row>
    <row r="73" spans="9:9">
      <c r="I73" t="s">
        <v>1688</v>
      </c>
    </row>
    <row r="74" spans="9:9">
      <c r="I74" t="s">
        <v>1689</v>
      </c>
    </row>
    <row r="75" spans="9:9">
      <c r="I75" t="s">
        <v>1690</v>
      </c>
    </row>
    <row r="76" spans="9:9">
      <c r="I76" t="s">
        <v>1691</v>
      </c>
    </row>
    <row r="77" spans="9:9">
      <c r="I77" t="s">
        <v>1692</v>
      </c>
    </row>
    <row r="78" spans="9:9">
      <c r="I78" t="s">
        <v>1693</v>
      </c>
    </row>
    <row r="79" spans="9:9">
      <c r="I79" t="s">
        <v>1689</v>
      </c>
    </row>
    <row r="80" spans="9:9">
      <c r="I80" t="s">
        <v>1690</v>
      </c>
    </row>
    <row r="81" spans="9:9">
      <c r="I81" t="s">
        <v>1694</v>
      </c>
    </row>
    <row r="82" spans="9:9">
      <c r="I82" t="s">
        <v>1695</v>
      </c>
    </row>
    <row r="83" spans="9:9">
      <c r="I83" t="s">
        <v>1696</v>
      </c>
    </row>
    <row r="84" spans="9:9">
      <c r="I84" t="s">
        <v>1697</v>
      </c>
    </row>
    <row r="85" spans="9:9">
      <c r="I85" t="s">
        <v>1698</v>
      </c>
    </row>
    <row r="86" spans="9:9">
      <c r="I86" t="s">
        <v>1699</v>
      </c>
    </row>
    <row r="87" spans="9:9">
      <c r="I87" t="s">
        <v>1700</v>
      </c>
    </row>
    <row r="88" spans="9:9">
      <c r="I88" t="s">
        <v>1701</v>
      </c>
    </row>
    <row r="89" spans="9:9">
      <c r="I89" t="s">
        <v>1702</v>
      </c>
    </row>
    <row r="90" spans="9:9">
      <c r="I90" t="s">
        <v>1703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4CA26-8AA6-4A16-BD76-23D76994F903}">
  <dimension ref="A1"/>
  <sheetViews>
    <sheetView workbookViewId="0"/>
  </sheetViews>
  <sheetFormatPr baseColWidth="10" defaultRowHeight="14.4"/>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4.4"/>
  <cols>
    <col min="1" max="1" width="146.44140625" customWidth="1"/>
  </cols>
  <sheetData>
    <row r="1" spans="1:1" ht="409.6">
      <c r="A1" s="2" t="s">
        <v>1339</v>
      </c>
    </row>
    <row r="3" spans="1:1" ht="86.4">
      <c r="A3" s="2" t="s">
        <v>1340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4.4"/>
  <cols>
    <col min="1" max="1" width="155.88671875" customWidth="1"/>
  </cols>
  <sheetData>
    <row r="4" spans="1:1" ht="409.6">
      <c r="A4" s="14" t="s">
        <v>1342</v>
      </c>
    </row>
    <row r="7" spans="1:1" ht="409.6">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plan test</vt:lpstr>
      <vt:lpstr>lista IA </vt:lpstr>
      <vt:lpstr>Agengtes</vt:lpstr>
      <vt:lpstr>FrontEND 2</vt:lpstr>
      <vt:lpstr>LangGraph</vt:lpstr>
      <vt:lpstr>Suite Test</vt:lpstr>
      <vt:lpstr>Promts</vt:lpstr>
      <vt:lpstr>Unit Test</vt:lpstr>
      <vt:lpstr>Hoja4</vt:lpstr>
      <vt:lpstr>Hoja2</vt:lpstr>
      <vt:lpstr>Agentes</vt:lpstr>
      <vt:lpstr>promt</vt:lpstr>
      <vt:lpstr>lista frontend</vt:lpstr>
      <vt:lpstr>Hoja1</vt:lpstr>
      <vt:lpstr>Prmot frontend</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2026-02-17T01:05:06Z</dcterms:modified>
</cp:coreProperties>
</file>