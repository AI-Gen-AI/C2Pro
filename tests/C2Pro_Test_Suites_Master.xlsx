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C:\Users\esus_\Documents\AI\ZTWQ\c2pro\tests\"/>
    </mc:Choice>
  </mc:AlternateContent>
  <xr:revisionPtr revIDLastSave="0" documentId="13_ncr:1_{887C8B13-CE69-4AF6-9C3E-FBB8B4CF3DF9}" xr6:coauthVersionLast="47" xr6:coauthVersionMax="47" xr10:uidLastSave="{00000000-0000-0000-0000-000000000000}"/>
  <bookViews>
    <workbookView xWindow="-108" yWindow="-108" windowWidth="23256" windowHeight="12456" activeTab="6" xr2:uid="{00000000-000D-0000-FFFF-FFFF00000000}"/>
  </bookViews>
  <sheets>
    <sheet name="Suite Test" sheetId="1" r:id="rId1"/>
    <sheet name="Promts" sheetId="2" r:id="rId2"/>
    <sheet name="Unit Test" sheetId="3" r:id="rId3"/>
    <sheet name="Hoja4" sheetId="9" r:id="rId4"/>
    <sheet name="Hoja2" sheetId="11" r:id="rId5"/>
    <sheet name="Agentes" sheetId="5" r:id="rId6"/>
    <sheet name="promt" sheetId="4" r:id="rId7"/>
  </sheets>
  <definedNames>
    <definedName name="_xlnm._FilterDatabase" localSheetId="4" hidden="1">Hoja2!$A$1:$C$112</definedName>
    <definedName name="_xlnm._FilterDatabase" localSheetId="0" hidden="1">'Suite Test'!$A$1:$J$114</definedName>
    <definedName name="_xlnm._FilterDatabase" localSheetId="2" hidden="1">'Unit Test'!$A$1:$I$404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2" i="1"/>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124" i="3"/>
  <c r="K125" i="3"/>
  <c r="K126" i="3"/>
  <c r="K127" i="3"/>
  <c r="K128" i="3"/>
  <c r="K129" i="3"/>
  <c r="K130" i="3"/>
  <c r="K131" i="3"/>
  <c r="K132" i="3"/>
  <c r="K133" i="3"/>
  <c r="K134" i="3"/>
  <c r="K135" i="3"/>
  <c r="K136" i="3"/>
  <c r="K137" i="3"/>
  <c r="K138" i="3"/>
  <c r="K139" i="3"/>
  <c r="K140" i="3"/>
  <c r="K141" i="3"/>
  <c r="K142" i="3"/>
  <c r="K143" i="3"/>
  <c r="K144" i="3"/>
  <c r="K145" i="3"/>
  <c r="K146" i="3"/>
  <c r="K147" i="3"/>
  <c r="K148" i="3"/>
  <c r="K149" i="3"/>
  <c r="K150" i="3"/>
  <c r="K151" i="3"/>
  <c r="K152" i="3"/>
  <c r="K153" i="3"/>
  <c r="K154" i="3"/>
  <c r="K155" i="3"/>
  <c r="K156" i="3"/>
  <c r="K157" i="3"/>
  <c r="K158" i="3"/>
  <c r="K159" i="3"/>
  <c r="K160" i="3"/>
  <c r="K161" i="3"/>
  <c r="K162" i="3"/>
  <c r="K163" i="3"/>
  <c r="K164" i="3"/>
  <c r="K165" i="3"/>
  <c r="K166" i="3"/>
  <c r="K167" i="3"/>
  <c r="K168" i="3"/>
  <c r="K169" i="3"/>
  <c r="K170" i="3"/>
  <c r="K171" i="3"/>
  <c r="K172" i="3"/>
  <c r="K173" i="3"/>
  <c r="K174" i="3"/>
  <c r="K175" i="3"/>
  <c r="K176" i="3"/>
  <c r="K177" i="3"/>
  <c r="K178" i="3"/>
  <c r="K179" i="3"/>
  <c r="K180" i="3"/>
  <c r="K181" i="3"/>
  <c r="K182" i="3"/>
  <c r="K183" i="3"/>
  <c r="K184" i="3"/>
  <c r="K185" i="3"/>
  <c r="K186" i="3"/>
  <c r="K187" i="3"/>
  <c r="K188" i="3"/>
  <c r="K189" i="3"/>
  <c r="K190" i="3"/>
  <c r="K191" i="3"/>
  <c r="K192" i="3"/>
  <c r="K193" i="3"/>
  <c r="K194" i="3"/>
  <c r="K195" i="3"/>
  <c r="K196" i="3"/>
  <c r="K197" i="3"/>
  <c r="K198" i="3"/>
  <c r="K199" i="3"/>
  <c r="K200" i="3"/>
  <c r="K201" i="3"/>
  <c r="K202" i="3"/>
  <c r="K203" i="3"/>
  <c r="K204" i="3"/>
  <c r="K205" i="3"/>
  <c r="K206" i="3"/>
  <c r="K207" i="3"/>
  <c r="K208" i="3"/>
  <c r="K209" i="3"/>
  <c r="K210" i="3"/>
  <c r="K211" i="3"/>
  <c r="K212" i="3"/>
  <c r="K213" i="3"/>
  <c r="K214" i="3"/>
  <c r="K215" i="3"/>
  <c r="K216" i="3"/>
  <c r="K217" i="3"/>
  <c r="K218" i="3"/>
  <c r="K219" i="3"/>
  <c r="K220" i="3"/>
  <c r="K221" i="3"/>
  <c r="K222" i="3"/>
  <c r="K223" i="3"/>
  <c r="K224" i="3"/>
  <c r="K225" i="3"/>
  <c r="K226" i="3"/>
  <c r="K227" i="3"/>
  <c r="K228" i="3"/>
  <c r="K229" i="3"/>
  <c r="K230" i="3"/>
  <c r="K231" i="3"/>
  <c r="K232" i="3"/>
  <c r="K233" i="3"/>
  <c r="K234" i="3"/>
  <c r="K235" i="3"/>
  <c r="K236" i="3"/>
  <c r="K237" i="3"/>
  <c r="K238" i="3"/>
  <c r="K239" i="3"/>
  <c r="K240" i="3"/>
  <c r="K241" i="3"/>
  <c r="K242" i="3"/>
  <c r="K243" i="3"/>
  <c r="K244" i="3"/>
  <c r="K245" i="3"/>
  <c r="K246" i="3"/>
  <c r="K247" i="3"/>
  <c r="K248" i="3"/>
  <c r="K249" i="3"/>
  <c r="K250" i="3"/>
  <c r="K251" i="3"/>
  <c r="K252" i="3"/>
  <c r="K253" i="3"/>
  <c r="K254" i="3"/>
  <c r="K255" i="3"/>
  <c r="K256" i="3"/>
  <c r="K257" i="3"/>
  <c r="K258" i="3"/>
  <c r="K260" i="3"/>
  <c r="K261" i="3"/>
  <c r="K262" i="3"/>
  <c r="K263" i="3"/>
  <c r="K264" i="3"/>
  <c r="K265" i="3"/>
  <c r="K266" i="3"/>
  <c r="K267" i="3"/>
  <c r="K268" i="3"/>
  <c r="K269" i="3"/>
  <c r="K270" i="3"/>
  <c r="K271" i="3"/>
  <c r="K272" i="3"/>
  <c r="K273" i="3"/>
  <c r="K274" i="3"/>
  <c r="K275" i="3"/>
  <c r="K276" i="3"/>
  <c r="K277" i="3"/>
  <c r="K278" i="3"/>
  <c r="K279" i="3"/>
  <c r="K280" i="3"/>
  <c r="K281" i="3"/>
  <c r="K282" i="3"/>
  <c r="K283" i="3"/>
  <c r="K284" i="3"/>
  <c r="K285" i="3"/>
  <c r="K286" i="3"/>
  <c r="K287" i="3"/>
  <c r="K288" i="3"/>
  <c r="K289" i="3"/>
  <c r="K290" i="3"/>
  <c r="K291" i="3"/>
  <c r="K292" i="3"/>
  <c r="K293" i="3"/>
  <c r="K294" i="3"/>
  <c r="K295" i="3"/>
  <c r="K296" i="3"/>
  <c r="K297" i="3"/>
  <c r="K298" i="3"/>
  <c r="K299" i="3"/>
  <c r="K300" i="3"/>
  <c r="K301" i="3"/>
  <c r="K302" i="3"/>
  <c r="K303" i="3"/>
  <c r="K304" i="3"/>
  <c r="K305" i="3"/>
  <c r="K306" i="3"/>
  <c r="K307" i="3"/>
  <c r="K308" i="3"/>
  <c r="K309" i="3"/>
  <c r="K310" i="3"/>
  <c r="K311" i="3"/>
  <c r="K312" i="3"/>
  <c r="K313" i="3"/>
  <c r="K314" i="3"/>
  <c r="K315" i="3"/>
  <c r="K316" i="3"/>
  <c r="K317" i="3"/>
  <c r="K318" i="3"/>
  <c r="K319" i="3"/>
  <c r="K320" i="3"/>
  <c r="K321" i="3"/>
  <c r="K322" i="3"/>
  <c r="K323" i="3"/>
  <c r="K324" i="3"/>
  <c r="K325" i="3"/>
  <c r="K326" i="3"/>
  <c r="K327" i="3"/>
  <c r="K328" i="3"/>
  <c r="K329" i="3"/>
  <c r="K330" i="3"/>
  <c r="K331" i="3"/>
  <c r="K41" i="3"/>
  <c r="K25" i="3"/>
  <c r="K26" i="3"/>
  <c r="K27" i="3"/>
  <c r="K28" i="3"/>
  <c r="K29" i="3"/>
  <c r="K30" i="3"/>
  <c r="K31" i="3"/>
  <c r="K32" i="3"/>
  <c r="K33" i="3"/>
  <c r="K34" i="3"/>
  <c r="K35" i="3"/>
  <c r="K36" i="3"/>
  <c r="K37" i="3"/>
  <c r="K38" i="3"/>
  <c r="K39" i="3"/>
  <c r="K40" i="3"/>
  <c r="K24" i="3"/>
</calcChain>
</file>

<file path=xl/sharedStrings.xml><?xml version="1.0" encoding="utf-8"?>
<sst xmlns="http://schemas.openxmlformats.org/spreadsheetml/2006/main" count="4625" uniqueCount="1187">
  <si>
    <t>Nº</t>
  </si>
  <si>
    <t>Suite ID</t>
  </si>
  <si>
    <t>Nombre Test Suite</t>
  </si>
  <si>
    <t>Test Cases</t>
  </si>
  <si>
    <t>Cobertura</t>
  </si>
  <si>
    <t>Prioridad</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</si>
  <si>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</si>
  <si>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</si>
  <si>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</si>
  <si>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</si>
  <si>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</si>
  <si>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</si>
  <si>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</si>
  <si>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</si>
  <si>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</si>
  <si>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</si>
  <si>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</si>
  <si>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</si>
  <si>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</si>
  <si>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</si>
  <si>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</si>
  <si>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</si>
  <si>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</si>
  <si>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</si>
  <si>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</si>
  <si>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</si>
  <si>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</si>
  <si>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</si>
  <si>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</si>
  <si>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</si>
  <si>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</si>
  <si>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</si>
  <si>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</si>
  <si>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</si>
  <si>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</si>
  <si>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</si>
  <si>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</si>
  <si>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</si>
  <si>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</si>
  <si>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</si>
  <si>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</si>
  <si>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</si>
  <si>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</si>
  <si>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</si>
  <si>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</si>
  <si>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</si>
  <si>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</si>
  <si>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</si>
  <si>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</si>
  <si>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</si>
  <si>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</si>
  <si>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</si>
  <si>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</si>
  <si>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</si>
  <si>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</si>
  <si>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</si>
  <si>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</si>
  <si>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</si>
  <si>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</si>
  <si>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</si>
  <si>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</si>
  <si>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</si>
  <si>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</si>
  <si>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</si>
  <si>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</si>
  <si>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</si>
  <si>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</si>
  <si>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</si>
  <si>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</si>
  <si>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</si>
  <si>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</si>
  <si>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</si>
  <si>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</si>
  <si>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</si>
  <si>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</si>
  <si>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</si>
  <si>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</si>
  <si>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</si>
  <si>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</si>
  <si>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</si>
  <si>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</si>
  <si>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</si>
  <si>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</si>
  <si>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</si>
  <si>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</si>
  <si>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</si>
  <si>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</si>
  <si>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</si>
  <si>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</si>
  <si>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</si>
  <si>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</si>
  <si>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</si>
  <si>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</si>
  <si>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</si>
  <si>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</si>
  <si>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</si>
  <si>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</si>
  <si>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</si>
  <si>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</si>
  <si>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</si>
  <si>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</si>
  <si>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</si>
  <si>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</si>
  <si>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</si>
  <si>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</si>
  <si>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</si>
  <si>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</si>
  <si>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</si>
  <si>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</si>
  <si>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</si>
  <si>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</si>
  <si>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</si>
  <si>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</si>
  <si>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</si>
  <si>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</si>
  <si>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</si>
  <si>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</si>
  <si>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</si>
  <si>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</si>
  <si>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TS-UC-SEC-MCP-001</t>
  </si>
  <si>
    <t>TS-UC-SEC-MCP-002</t>
  </si>
  <si>
    <t>TS-UC-SEC-MCP-003</t>
  </si>
  <si>
    <t>TS-UC-SEC-MCP-004</t>
  </si>
  <si>
    <t>TS-UC-SEC-ANO-001</t>
  </si>
  <si>
    <t>TS-UC-SEC-ANO-002</t>
  </si>
  <si>
    <t>TS-UC-SEC-ANO-003</t>
  </si>
  <si>
    <t>TS-UC-SEC-TNT-001</t>
  </si>
  <si>
    <t>TS-UC-SEC-JWT-001</t>
  </si>
  <si>
    <t>TS-UC-SEC-AUD-001</t>
  </si>
  <si>
    <t>TS-UC-SEC-GAM-001</t>
  </si>
  <si>
    <t>TS-UD-DOC-CLS-001</t>
  </si>
  <si>
    <t>TS-UD-DOC-CLS-002</t>
  </si>
  <si>
    <t>TS-UD-DOC-CLS-003</t>
  </si>
  <si>
    <t>TS-UD-DOC-ENT-001</t>
  </si>
  <si>
    <t>TS-UD-DOC-ENT-002</t>
  </si>
  <si>
    <t>TS-UD-DOC-ENT-003</t>
  </si>
  <si>
    <t>TS-UD-DOC-ENT-004</t>
  </si>
  <si>
    <t>TS-UD-DOC-DOC-001</t>
  </si>
  <si>
    <t>TS-UD-DOC-CNF-001</t>
  </si>
  <si>
    <t>TS-UD-COH-CAT-001</t>
  </si>
  <si>
    <t>TS-UD-COH-RUL-001</t>
  </si>
  <si>
    <t>TS-UD-COH-RUL-002</t>
  </si>
  <si>
    <t>TS-UD-COH-RUL-003</t>
  </si>
  <si>
    <t>TS-UD-COH-RUL-004</t>
  </si>
  <si>
    <t>TS-UD-COH-RUL-005</t>
  </si>
  <si>
    <t>TS-UD-COH-RUL-006</t>
  </si>
  <si>
    <t>TS-UD-COH-SCR-001</t>
  </si>
  <si>
    <t>TS-UD-COH-SCR-002</t>
  </si>
  <si>
    <t>TS-UD-COH-SCR-003</t>
  </si>
  <si>
    <t>TS-UD-COH-GAM-001</t>
  </si>
  <si>
    <t>TS-UD-COH-ALR-001</t>
  </si>
  <si>
    <t>TS-UD-PRJ-WBS-001</t>
  </si>
  <si>
    <t>TS-UD-PRJ-WBS-002</t>
  </si>
  <si>
    <t>TS-UD-PRJ-WBS-003</t>
  </si>
  <si>
    <t>TS-UD-PRJ-WBS-004</t>
  </si>
  <si>
    <t>TS-UD-PRJ-PRJ-001</t>
  </si>
  <si>
    <t>TS-UD-PRJ-DTO-001</t>
  </si>
  <si>
    <t>TS-UD-PROC-BOM-001</t>
  </si>
  <si>
    <t>TS-UD-PROC-BOM-002</t>
  </si>
  <si>
    <t>TS-UD-PROC-LTM-001</t>
  </si>
  <si>
    <t>TS-UD-PROC-LTM-002</t>
  </si>
  <si>
    <t>TS-UD-PROC-LTM-003</t>
  </si>
  <si>
    <t>TS-UD-PROC-LTM-004</t>
  </si>
  <si>
    <t>TS-UD-PROC-PLN-001</t>
  </si>
  <si>
    <t>TS-UD-STK-ENT-001</t>
  </si>
  <si>
    <t>TS-UD-STK-CLS-001</t>
  </si>
  <si>
    <t>TS-UD-STK-CLS-002</t>
  </si>
  <si>
    <t>TS-UD-STK-RAC-001</t>
  </si>
  <si>
    <t>TS-UD-STK-RAC-002</t>
  </si>
  <si>
    <t>TS-UD-STK-RAC-003</t>
  </si>
  <si>
    <t>TS-UD-STK-MAP-001</t>
  </si>
  <si>
    <t>TS-UD-ANA-ALR-001</t>
  </si>
  <si>
    <t>TS-UD-ANA-GRP-001</t>
  </si>
  <si>
    <t>TS-UD-ANA-GRP-002</t>
  </si>
  <si>
    <t>TS-UD-ANA-SRC-001</t>
  </si>
  <si>
    <t>TS-UD-ANA-HYB-001</t>
  </si>
  <si>
    <t>TS-UA-DOC-UC-001</t>
  </si>
  <si>
    <t>TS-UA-DOC-UC-002</t>
  </si>
  <si>
    <t>TS-UA-DOC-UC-003</t>
  </si>
  <si>
    <t>TS-UA-COH-UC-001</t>
  </si>
  <si>
    <t>TS-UA-COH-UC-002</t>
  </si>
  <si>
    <t>TS-UA-PRJ-UC-001</t>
  </si>
  <si>
    <t>TS-UA-PRJ-UC-002</t>
  </si>
  <si>
    <t>TS-UA-PROC-UC-001</t>
  </si>
  <si>
    <t>TS-UA-PROC-UC-002</t>
  </si>
  <si>
    <t>TS-UA-STK-UC-001</t>
  </si>
  <si>
    <t>TS-UA-STK-UC-002</t>
  </si>
  <si>
    <t>TS-UA-ANA-UC-001</t>
  </si>
  <si>
    <t>TS-UA-ANA-UC-002</t>
  </si>
  <si>
    <t>TS-UA-SEC-UC-001</t>
  </si>
  <si>
    <t>TS-UA-SEC-UC-002</t>
  </si>
  <si>
    <t>TS-UA-SVC-EXT-001</t>
  </si>
  <si>
    <t>TS-UA-SVC-EXT-002</t>
  </si>
  <si>
    <t>TS-UA-SVC-COH-001</t>
  </si>
  <si>
    <t>TS-UA-SVC-PII-001</t>
  </si>
  <si>
    <t>TS-UA-SVC-ANO-001</t>
  </si>
  <si>
    <t>TS-UA-SVC-RTL-001</t>
  </si>
  <si>
    <t>TS-UA-SVC-BDG-001</t>
  </si>
  <si>
    <t>TS-UA-DTO-ALL-001</t>
  </si>
  <si>
    <t>TS-UA-DTO-SER-001</t>
  </si>
  <si>
    <t>TS-UAD-HTTP-RTR-001</t>
  </si>
  <si>
    <t>TS-UAD-HTTP-MDW-001</t>
  </si>
  <si>
    <t>TS-UAD-HTTP-ERR-001</t>
  </si>
  <si>
    <t>TS-UAD-PER-REP-001</t>
  </si>
  <si>
    <t>TS-UAD-PER-GRP-001</t>
  </si>
  <si>
    <t>TS-UAD-PER-RDS-001</t>
  </si>
  <si>
    <t>TS-UAD-PER-R2-001</t>
  </si>
  <si>
    <t>TS-INT-DB-CLS-001</t>
  </si>
  <si>
    <t>TS-INT-DB-DOC-001</t>
  </si>
  <si>
    <t>TS-INT-DB-WBS-001</t>
  </si>
  <si>
    <t>TS-INT-DB-BOM-001</t>
  </si>
  <si>
    <t>TS-INT-DB-COH-001</t>
  </si>
  <si>
    <t>TS-INT-DB-AUD-001</t>
  </si>
  <si>
    <t>TS-INT-EXT-LLM-001</t>
  </si>
  <si>
    <t>TS-INT-EXT-LLM-002</t>
  </si>
  <si>
    <t>TS-INT-GRP-NEO-001</t>
  </si>
  <si>
    <t>TS-INT-MOD-WBS-001</t>
  </si>
  <si>
    <t>TS-INT-MOD-DOC-001</t>
  </si>
  <si>
    <t>TS-INT-MOD-ANA-001</t>
  </si>
  <si>
    <t>TS-INT-MOD-STK-001</t>
  </si>
  <si>
    <t>TS-INT-EVT-BUS-001</t>
  </si>
  <si>
    <t>TS-INT-EVT-CEL-001</t>
  </si>
  <si>
    <t>TS-INT-EVT-DLQ-001</t>
  </si>
  <si>
    <t>TS-E2E-FLW-DOC-001</t>
  </si>
  <si>
    <t>TS-E2E-FLW-ALR-001</t>
  </si>
  <si>
    <t>TS-E2E-FLW-BLK-001</t>
  </si>
  <si>
    <t>TS-E2E-SEC-TNT-001</t>
  </si>
  <si>
    <t>TS-E2E-SEC-MCP-001</t>
  </si>
  <si>
    <t>TS-E2E-ERR-TIM-001</t>
  </si>
  <si>
    <t>TS-E2E-ERR-CON-001</t>
  </si>
  <si>
    <t>TS-E2E-ERR-REC-001</t>
  </si>
  <si>
    <t>TS-E2E-PER-LRG-001</t>
  </si>
  <si>
    <t xml:space="preserve">MCP Gateway Allowlist </t>
  </si>
  <si>
    <t xml:space="preserve">MCP Gateway Rate Limiting </t>
  </si>
  <si>
    <t xml:space="preserve">MCP Gateway Query Limits </t>
  </si>
  <si>
    <t xml:space="preserve">MCP Gateway Audit </t>
  </si>
  <si>
    <t xml:space="preserve">Anonymizer PII Detection </t>
  </si>
  <si>
    <t xml:space="preserve">Anonymizer Strategies </t>
  </si>
  <si>
    <t xml:space="preserve">Anonymizer Tenant Config </t>
  </si>
  <si>
    <t xml:space="preserve">Tenant Context &amp; Isolation </t>
  </si>
  <si>
    <t xml:space="preserve">JWT Validation </t>
  </si>
  <si>
    <t xml:space="preserve">Audit Trail Core </t>
  </si>
  <si>
    <t xml:space="preserve">Anti-Gaming Detection </t>
  </si>
  <si>
    <t xml:space="preserve">Clause Entity </t>
  </si>
  <si>
    <t xml:space="preserve">Clause Types &amp; Classification </t>
  </si>
  <si>
    <t xml:space="preserve">SubClause Hierarchy </t>
  </si>
  <si>
    <t xml:space="preserve">Entity Extraction - Dates </t>
  </si>
  <si>
    <t xml:space="preserve">Entity Extraction - Money </t>
  </si>
  <si>
    <t xml:space="preserve">Entity Extraction - Durations </t>
  </si>
  <si>
    <t xml:space="preserve">Entity Extraction - Stakeholders </t>
  </si>
  <si>
    <t xml:space="preserve">Document Entity </t>
  </si>
  <si>
    <t xml:space="preserve">Confidence Scoring </t>
  </si>
  <si>
    <t xml:space="preserve">Category Enum &amp; Weights </t>
  </si>
  <si>
    <t xml:space="preserve">Rules Engine - SCOPE </t>
  </si>
  <si>
    <t xml:space="preserve">Rules Engine - BUDGET </t>
  </si>
  <si>
    <t xml:space="preserve">Rules Engine - TIME </t>
  </si>
  <si>
    <t xml:space="preserve">Rules Engine - TECHNICAL </t>
  </si>
  <si>
    <t xml:space="preserve">Rules Engine - LEGAL </t>
  </si>
  <si>
    <t xml:space="preserve">Rules Engine - QUALITY </t>
  </si>
  <si>
    <t xml:space="preserve">Score Calculator - SubScores </t>
  </si>
  <si>
    <t xml:space="preserve">Score Calculator - Global </t>
  </si>
  <si>
    <t xml:space="preserve">Score Calculator - Custom Weights </t>
  </si>
  <si>
    <t xml:space="preserve">Anti-Gaming Policy </t>
  </si>
  <si>
    <t xml:space="preserve">Alert Entity &amp; Mapping </t>
  </si>
  <si>
    <t xml:space="preserve">WBS Item Entity </t>
  </si>
  <si>
    <t xml:space="preserve">WBS Hierarchy &amp; Codes </t>
  </si>
  <si>
    <t xml:space="preserve">WBS Validation Rules </t>
  </si>
  <si>
    <t xml:space="preserve">WBS CRUD Operations </t>
  </si>
  <si>
    <t xml:space="preserve">Project Entity </t>
  </si>
  <si>
    <t xml:space="preserve">WBSItemDTO &amp; IWBSQueryPort </t>
  </si>
  <si>
    <t xml:space="preserve">BOM Item Entity </t>
  </si>
  <si>
    <t xml:space="preserve">BOM Validation Rules </t>
  </si>
  <si>
    <t xml:space="preserve">Lead Time Calculator - Basic </t>
  </si>
  <si>
    <t xml:space="preserve">Lead Time Calculator - Incoterms </t>
  </si>
  <si>
    <t xml:space="preserve">Lead Time Calculator - Customs </t>
  </si>
  <si>
    <t xml:space="preserve">Lead Time Alerts </t>
  </si>
  <si>
    <t xml:space="preserve">Procurement Plan Generation </t>
  </si>
  <si>
    <t xml:space="preserve">Stakeholder Entity </t>
  </si>
  <si>
    <t xml:space="preserve">Power/Interest Classification </t>
  </si>
  <si>
    <t xml:space="preserve">Quadrant Assignment </t>
  </si>
  <si>
    <t xml:space="preserve">RACI Entry Validation </t>
  </si>
  <si>
    <t xml:space="preserve">RACI Matrix Generation </t>
  </si>
  <si>
    <t xml:space="preserve">RACI from Clauses </t>
  </si>
  <si>
    <t xml:space="preserve">Stakeholder Map Data </t>
  </si>
  <si>
    <t xml:space="preserve">Alert Entity Complete </t>
  </si>
  <si>
    <t xml:space="preserve">Graph Node Entity </t>
  </si>
  <si>
    <t xml:space="preserve">Graph Relationship Entity </t>
  </si>
  <si>
    <t xml:space="preserve">Semantic Search Result </t>
  </si>
  <si>
    <t xml:space="preserve">Hybrid Search Result </t>
  </si>
  <si>
    <t xml:space="preserve">Upload Document Use Case </t>
  </si>
  <si>
    <t xml:space="preserve">Extract Clauses Use Case </t>
  </si>
  <si>
    <t xml:space="preserve">Extract Entities Use Case </t>
  </si>
  <si>
    <t xml:space="preserve">Calculate Coherence Use Case </t>
  </si>
  <si>
    <t xml:space="preserve">Recalculate on Alert Use Case </t>
  </si>
  <si>
    <t xml:space="preserve">Generate WBS Use Case </t>
  </si>
  <si>
    <t xml:space="preserve">CRUD WBS Item Use Case </t>
  </si>
  <si>
    <t xml:space="preserve">Generate BOM Use Case </t>
  </si>
  <si>
    <t xml:space="preserve">Calculate Lead Time Use Case </t>
  </si>
  <si>
    <t xml:space="preserve">Extract Stakeholders Use Case </t>
  </si>
  <si>
    <t xml:space="preserve">Generate RACI Use Case </t>
  </si>
  <si>
    <t xml:space="preserve">Run Analysis Use Case </t>
  </si>
  <si>
    <t xml:space="preserve">Graph Query Use Case </t>
  </si>
  <si>
    <t xml:space="preserve">Validate MCP Operation Use Case </t>
  </si>
  <si>
    <t xml:space="preserve">Anonymize Document Use Case </t>
  </si>
  <si>
    <t xml:space="preserve">Clause Extraction Service </t>
  </si>
  <si>
    <t xml:space="preserve">Entity Extraction Service </t>
  </si>
  <si>
    <t xml:space="preserve">Coherence Calculation Service </t>
  </si>
  <si>
    <t xml:space="preserve">PII Detection Service </t>
  </si>
  <si>
    <t xml:space="preserve">Anonymization Service </t>
  </si>
  <si>
    <t xml:space="preserve">Rate Limit Service </t>
  </si>
  <si>
    <t xml:space="preserve">Budget Tracking Service </t>
  </si>
  <si>
    <t xml:space="preserve">All DTOs Validation </t>
  </si>
  <si>
    <t xml:space="preserve">Serialization/Deserialization </t>
  </si>
  <si>
    <t xml:space="preserve">All Routers Validation </t>
  </si>
  <si>
    <t xml:space="preserve">Middleware (Auth, Tenant) </t>
  </si>
  <si>
    <t xml:space="preserve">Error Handlers </t>
  </si>
  <si>
    <t xml:space="preserve">All Repositories </t>
  </si>
  <si>
    <t xml:space="preserve">Graph Adapters (Neo4j) </t>
  </si>
  <si>
    <t xml:space="preserve">Redis Adapters </t>
  </si>
  <si>
    <t xml:space="preserve">R2 Storage Adapters </t>
  </si>
  <si>
    <t xml:space="preserve">Clause Repository + DB </t>
  </si>
  <si>
    <t xml:space="preserve">Document Repository + DB </t>
  </si>
  <si>
    <t xml:space="preserve">WBS Repository + DB </t>
  </si>
  <si>
    <t xml:space="preserve">BOM Repository + DB </t>
  </si>
  <si>
    <t xml:space="preserve">Coherence Repository + DB </t>
  </si>
  <si>
    <t xml:space="preserve">Audit Repository + DB </t>
  </si>
  <si>
    <t xml:space="preserve">LLM Client Integration </t>
  </si>
  <si>
    <t xml:space="preserve">LLM Fallback Integration </t>
  </si>
  <si>
    <t xml:space="preserve">Neo4j Integration </t>
  </si>
  <si>
    <t xml:space="preserve">WBS → Procurement Integration </t>
  </si>
  <si>
    <t xml:space="preserve">Documents → Analysis Integration </t>
  </si>
  <si>
    <t xml:space="preserve">Analysis → Coherence Integration </t>
  </si>
  <si>
    <t xml:space="preserve">Stakeholders → RACI Integration </t>
  </si>
  <si>
    <t xml:space="preserve">Event Bus Publish/Subscribe </t>
  </si>
  <si>
    <t xml:space="preserve">Celery Job Queue </t>
  </si>
  <si>
    <t xml:space="preserve">Dead Letter Queue </t>
  </si>
  <si>
    <t xml:space="preserve">Document Upload to Coherence </t>
  </si>
  <si>
    <t xml:space="preserve">Alert Review Workflow </t>
  </si>
  <si>
    <t xml:space="preserve">Bulk Operations </t>
  </si>
  <si>
    <t xml:space="preserve">Multi-tenant Isolation </t>
  </si>
  <si>
    <t xml:space="preserve">MCP Gateway E2E </t>
  </si>
  <si>
    <t xml:space="preserve">Timeout &amp; Fallback Scenarios </t>
  </si>
  <si>
    <t xml:space="preserve">Concurrent Modifications </t>
  </si>
  <si>
    <t xml:space="preserve">Error Recovery </t>
  </si>
  <si>
    <t xml:space="preserve">Large Document Processing </t>
  </si>
  <si>
    <t>100%</t>
  </si>
  <si>
    <t>98%</t>
  </si>
  <si>
    <t>95%</t>
  </si>
  <si>
    <t>90%</t>
  </si>
  <si>
    <t>85%</t>
  </si>
  <si>
    <t>80%</t>
  </si>
  <si>
    <t>75%</t>
  </si>
  <si>
    <t xml:space="preserve">🔴 P0 </t>
  </si>
  <si>
    <t xml:space="preserve">🟠 P1 </t>
  </si>
  <si>
    <t xml:space="preserve">🟡 P2 </t>
  </si>
  <si>
    <t>**Task:** TDD Implementation for MCP Gateway Security (TS-UC-SEC-MCP-001 to 004).
**Context:**
We need to implement the `MCP Gateway` logic acting as a security perimeter for AI Agents. According to Architecture v2.1 Section 6.3, this gateway handles Allowlisting, Rate Limiting, and Query Limits.
**Requirements:**
1.  **Location:** `src/core/security/mcp_gateway/`
2.  **Test File:** `tests/core/security/test_mcp_gateway.py`
3.  **Specs to Cover:**
    * **Allowlist:** Only specific operations (e.g., `projects_summary`, `create_alert`) are allowed. Unknown operations must be blocked.
    * **Rate Limiting:** Max 60 requests/minute per tenant.
    * **Audit:** All blocked attempts must be logged.
**Action:**
Step 1 (RED Phase): Generate a comprehensive `pytest` test suite using the **Triangulation Pattern**.
* Test A: Check if a valid operation (`projects_summary`) returns success.
* Test B: Check if an invalid operation (`drop_database`) raises a `SecurityException`.
* Test C: Check if exceeding 60 req/min raises a `RateLimitExceeded` error.
Do NOT write the implementation code yet. Write only the failing tests first. Ensure you mock the dependencies (like the Audit Logger) using `pytest-mock`.</t>
  </si>
  <si>
    <t>Promt</t>
  </si>
  <si>
    <t>Prompt Group 1: Security &amp; MCP Gateway (Critical P0)</t>
  </si>
  <si>
    <t>**Task:** TDD Implementation for Coherence Rules Engine (TS-UD-COH-RUL-001 to 006).
**Context:**
We are building the `Coherence Engine v2` domain logic. It evaluates project health based on 6 categories: SCOPE, BUDGET, TIME, TECHNICAL, LEGAL, QUALITY.
**Requirements:**
1.  **Location:** `src/MOD_COHERENCE/domain/rules/`
2.  **Test File:** `src/MOD_COHERENCE/tests/domain/test_rules_engine.py`
3.  **Domain Logic:**
    * Implement logic for the **BUDGET** category.
    * **Rule R6:** "Sum of BOM items must equal Contract Price (+/- 5%)".
    * **Rule R15:** "BOM Item without budget line assignment" is a violation.
**Action:**
Using the **"Fake It 'Til You Make It"** pattern:
1.  **RED:** Write a test case `test_rule_r6_budget_deviation` where the deviation is 10% (should fail/return low score).
2.  **GREEN:** Provide the *simplest possible implementation* (can be hardcoded) to make this specific test pass.
3.  **TRIANGULATE:** Write a second test case where deviation is 2% (should pass/return high score), forcing us to refactor the hardcoded value into real logic.
Output the Tests and the "Fake" implementation first.</t>
  </si>
  <si>
    <t>Prompt Group 2: Coherence Engine Rules (Domain Core)</t>
  </si>
  <si>
    <t>**Task:** TDD Implementation for Clause Entity &amp; Integrity (TS-UD-DOC-CLS-001).
**Context:**
The `Clause` entity is the "Single Source of Truth" for the system. It connects to `Stakeholders`, `WBS`, and `Alerts`. We need to ensure strict referential integrity in the Domain layer.
**Requirements:**
1.  **Location:** `src/MOD_DOCUMENTS/domain/entities/`
2.  **Test File:** `src/MOD_DOCUMENTS/tests/domain/test_clause_entity.py`
3.  **Key Attributes:** `clause_id` (UUID), `content`, `clause_type`, `confidence_score`.
4.  **Invariant:** A Clause cannot exist without a valid `document_id` and `tenant_id`.
**Action:**
Perform the **RED** phase of TDD.
Write a set of Unit Tests for the `Clause` entity:
1.  **Validation:** Test that creating a clause without `content` raises a `DomainValidationError`.
2.  **Logic:** Test that `confidence_score` must be between 0.0 and 1.0.
3.  **Behavior:** Test the `extract_entities()` method (mocked) to ensure it triggers the correct events.
The tests must fail because the Entity class does not exist yet.</t>
  </si>
  <si>
    <t>Prompt Group 3: Document &amp; Clause Entity (Traceability)</t>
  </si>
  <si>
    <t>**Task:** TDD for Cross-Module Integration WBS-Procurement (TS-UD-PRJ-DTO-001).
**Context:**
According to Phase 2 of the Architecture Plan, the Procurement module must consume WBS data via a specific Port/DTO contract, not by importing ORM models.
**Requirements:**
1.  **Location:** `src/MOD_PROJECTS/application/dtos/` and `src/MOD_PROCUREMENT/application/ports/`
2.  **Test File:** `tests/integration/test_wbs_procurement_contract.py`
3.  **Pattern:** Consumer-Driven Contract Testing.
**Action:**
We need to verify the Data Transfer Object (DTO) contract.
1.  Define the `WBSItemDTO` test expectation: It must have `id`, `code`, `level`, `start_date`.
2.  Write a test that simulates the **Procurement Module** trying to fetch a WBS Item.
3.  Assert that the data received matches the immutable `WBSItemDTO` structure, ensuring no SQLAlchemy models are leaked.
This test checks the architectural boundary. Generate the test code using `pytest` and `pydantic`.</t>
  </si>
  <si>
    <t>Prompt Group 4: Integration WBS -&gt; Procurement</t>
  </si>
  <si>
    <t>**Task:** TDD for Event Bus Publisher (TS-INT-EVT-BUS-001).
**Context:**
The system uses an asynchronous event bus (Redis/Celery) to handle document processing. We need to test the event publication mechanism.
**Requirements:**
1.  **Event:** `document.uploaded`
2.  **Test File:** `tests/infrastructure/events/test_event_publisher.py`
3.  **Goal:** Verify that when a document is uploaded, the correct payload is pushed to the queue.
**Action:**
Apply the **Green Bar Pattern** (Safe Refactoring).
1.  Write a test that mocks the Redis client.
2.  The test should assert that `publish("document.uploaded", payload)` was called with the correct Tenant ID and File ID.
3.  Since we are refactoring from a synchronous call to async, ensure the test fails if the operation blocks for more than 50ms.
Generate the test setup using `pytest-asyncio` and `unittest.mock`.</t>
  </si>
  <si>
    <t>Prompt Group 5: Asynchronous Event Bus (Celery/Redis)</t>
  </si>
  <si>
    <t>Promt Group</t>
  </si>
  <si>
    <t>**Role:** Senior Software Architect &amp; TDD Specialist.
**Project:** C2Pro (Construction Command Pro) - Version 2.1.
**Architecture:** Modular Monolith, Hexagonal Architecture (Ports &amp; Adapters), Domain-Driven Design (DDD).
**Stack:** Python 3.11+, FastAPI, Pytest, SQLAlchemy, Pydantic, Celery, Redis.
**Global TDD Rules:**
1.  **Red-Green-Refactor:** You must write the test FIRST. It must fail (`AssertionError` or `ImportError`).
2.  **Triangulation:** Use multiple test cases to force generic implementation logic.
3.  **Fake It:** In the "Green" phase, use hardcoded returns if it satisfies the specific test case.
4.  **Isolation:** Domain tests (Unit) must NOT access the database. Use Mocks/Stubs.
5.  **Traceability:** Every test file must reference the `Suite ID` it covers in the Docstring.
**Architecture References (v2.1):**
* **Section 5:** Hexagonal Structure (`adapters`, `application`, `domain`).
* **Section 6.3:** MCP Gateway (Allowlist/RateLimit).
* **Section 6.5:** Table `clauses` is the Source of Truth.
* **Section 9.1:** Coherence Engine v2 (6 Categories: SCOPE, BUDGET, TIME, TECH, LEGAL, QUALITY).</t>
  </si>
  <si>
    <t>**Task:** Generate TDD Test Suite for Security Core &amp; MCP Gateway.
**Reference:** Architecture v2.1 Section 6.3 (MCP Gateway) and Section 6.1 (Multitenant).
**Suites to Implement:**
1.  `TS-UC-SEC-MCP-001` (Allowlist): Verify that only `projects_summary`, `create_alert`, etc., are allowed. Block `drop_table`.
2.  `TS-UC-SEC-MCP-002` (Rate Limiting): Test 60 req/min limit per tenant.
3.  `TS-UC-SEC-MCP-003` (Query Limits): Enforce max 1000 rows or 5s timeout.
4.  `TS-UC-SEC-TNT-001` (Tenant Isolation): Ensure data from Tenant A cannot be accessed by Tenant B context.
**Instructions:**
* Create file: `tests/core/security/test_mcp_gateway.py`
* Use `pytest.mark.asyncio` for the gateway tests.
* **RED PHASE:** Write tests that simulate an unauthorized MCP tool call and assert `403 Forbidden`.
* **GREEN PHASE:** Show the minimal Pydantic model for the Gateway Config.</t>
  </si>
  <si>
    <t>BATCH 1: Security Core &amp; MCP Gateway (Critical P0)</t>
  </si>
  <si>
    <t>**Task:** Generate TDD Test Suite for PII Anonymization &amp; Audit Trail.
**Reference:** Architecture v2.1 Section 6.4 (Anonymizer) and Section 14.1 (Audit).
**Suites to Implement:**
1.  `TS-UC-SEC-ANO-001` (PII Detection): input text with IBAN/DNI -&gt; detect span indices.
2.  `TS-UA-SVC-ANO-001` (Anonymization Service): input text -&gt; output text with `[REDACTED]`.
3.  `TS-UC-SEC-AUD-001` (Audit Core): Verify that ANY write operation creates an `audit_logs` entry.
**Instructions:**
* Create file: `tests/core/security/test_anonymizer.py`
* **Strategy:** Use "Triangulation" for PII.
    * Test 1: "Contact me at test@email.com" -&gt; Detects Email.
    * Test 2: "My ID is 12345678Z" -&gt; Detects DNI.
* **Audit:** Mock the database repository. Verify `logger.info` is called with `tenant_id` and `action_type`.</t>
  </si>
  <si>
    <t>BATCH 2: Privacy, Anonymization &amp; Audit</t>
  </si>
  <si>
    <t>**Task:** Generate TDD Test Suite for Document &amp; Clause Domain.
**Reference:** Architecture v2.1 Section 6.5.2 (Table `clauses` logic).
**Suites to Implement:**
1.  `TS-UD-DOC-CLS-001` (Clause Entity): Validation of `content`, `type`, and mandatory `document_id`.
2.  `TS-UD-DOC-ENT-001` to `004` (Entity Extraction): Tests for Dates, Money, Durations, Stakeholders extraction logic.
3.  `TS-UA-SVC-EXT-001` (Clause Extraction Svc): Test the interaction with the LLM Port (Mocked).
**Instructions:**
* Create file: `tests/modules/documents/domain/test_clause_entity.py`
* **Constraint:** Ensure strict Domain Logic (Entities/Value Objects) is tested without any Infrastructure imports.
* **Logic:** A Clause cannot be valid if `confidence_score` &lt; 0.5 (as per business rule).</t>
  </si>
  <si>
    <t>BATCH 3: Documents &amp; Clause Extraction (The Foundation)</t>
  </si>
  <si>
    <t>**Task:** Generate TDD Test Suite for Coherence Engine v2 logic.
**Reference:** Architecture v2.1 Section 9.1 (The 6 Categories).
**Suites to Implement:**
1.  `TS-UD-COH-RUL-001` to `006`: Implement Unit Tests for rules in SCOPE, BUDGET, TIME, TECHNICAL, LEGAL, QUALITY.
2.  `TS-UD-COH-SCR-001` (Score Calc): Test the weighted formula calculation.
3.  `TS-UD-COH-GAM-001` (Anti-Gaming): Test detection of &gt;10 changes/hour (Section 9.1.6).
**Instructions:**
* Create file: `tests/modules/coherence/domain/test_rules_engine.py`
* **Triangulation:**
    * Test A: A project with perfect params -&gt; Score 100.
    * Test B: A project with "Budget Deviation &gt; 10%" -&gt; Score drops significantly.
    * Test C: Custom Weights applied (e.g., Budget weight 50%) -&gt; Score changes accordingly.</t>
  </si>
  <si>
    <t>BATCH 4: Coherence Engine v2 (Complex Logic)</t>
  </si>
  <si>
    <t>BATCH 5: Projects (WBS) &amp; Procurement (BOM)</t>
  </si>
  <si>
    <t>**Task:** Generate TDD Test Suite for WBS &amp; Procurement Integration.
**Reference:** Architecture v2.1 Section 9.3 (Integration WBS-Procurement).
**Suites to Implement:**
1.  `TS-UD-PRJ-WBS-001`: WBS Item Entity validation (Hierarchy levels 1-4).
2.  `TS-UD-PROC-LTM-001` (Lead Time Calc): Test logic for `Optimal Order Date` = `Start Date` - `Lead Time`.
3.  `TS-INT-MOD-WBS-001` (Integration): Test the DTO contract between Projects and Procurement modules.
**Instructions:**
* Create file: `tests/modules/procurement/domain/test_lead_time.py`
* **Fake It:** For the Lead Time test, initially hardcode the return date.
* **Refactor:** Implement the formula: `transit + production + customs + buffer`.</t>
  </si>
  <si>
    <t>**Task:** Generate TDD Test Suite for Stakeholders &amp; Graph Analysis.
**Reference:** Architecture v2.1 Section 9.2 (Graph RAG).
**Suites to Implement:**
1.  `TS-UD-STK-CLS-001` (Power/Interest): Test logic for Quadrant Assignment (High Power/Low Interest, etc.).
2.  `TS-UD-STK-RAC-001` (RACI): Validate that a task cannot have 0 Accountables or &gt;1 Accountable.
3.  `TS-UD-ANA-GRP-001` (Graph Node): Validate Node Entities for Neo4j consistency.
**Instructions:**
* Create file: `tests/modules/stakeholders/domain/test_raci_matrix.py`
* **Logic:** Write a test case that fails if a RACI row has two 'A's (Accountable).</t>
  </si>
  <si>
    <t>BATCH 6: Stakeholders &amp; Analysis (Graph)</t>
  </si>
  <si>
    <t>**Task:** Generate TDD Test Suite for Infrastructure &amp; DTOs.
**Reference:** Architecture v2.1 Section 5.3 (Communication Inter-Module).
**Suites to Implement:**
1.  `TS-UA-DTO-ALL-001`: Validate all Pydantic DTOs handle serialization/deserialization correctly.
2.  `TS-UAD-HTTP-ERR-001`: Global Error Handler tests (ensure Domain Exceptions map to HTTP 400/404/409).
3.  `TS-INT-EXT-LLM-002` (Fallback): Test that if Anthropic Fails, OpenAI is called (Architecture Section 7.4.2).
**Instructions:**
* Create file: `tests/infrastructure/http/test_global_exception_handler.py`
* **Architecture:** Verify that `DomainValidationError` converts to `HTTP 422` with a standard JSON error shape.</t>
  </si>
  <si>
    <t>BATCH 7: Infrastructure, DTOs &amp; Error Handling</t>
  </si>
  <si>
    <t>BATCH 8: E2E Flows &amp; Async System</t>
  </si>
  <si>
    <t>Batch 9: Persistence &amp; Repositories (Likely Missing)</t>
  </si>
  <si>
    <t>**Task:** Generate TDD Test Suite for Database Repositories (Persistence Adapters).
**Reference:** Architecture v2.1 Section 6.5.1 (Stack: Postgres/Supabase + RLS).
**Suites to Implement:**
1.  `TS-INT-DB-CLS-001` (Clause Repository): Verify CRUD operations and strictly enforce `tenant_id` filtering on every query.
2.  `TS-UAD-PER-REP-001` (Generic Repository): Test the abstract repository base class.
3.  `TS-INT-DB-WBS-001` (WBS Repo): Test recursive queries for WBS hierarchy (Parent/Child relationships).
**Instructions:**
* **Location:** `tests/adapters/persistence/test_{module}_repository.py`
* **Testing Strategy:** Do NOT mock SQLAlchemy. Use a **Docker Testcontainer** (PostgreSQL) to verify the actual SQL generation.
* **Critical Security Test:** Write a test where we try to fetch data for `Tenant A` using a repository initialized for `Tenant B`. This MUST return an empty list (RLS/Filter verification).</t>
  </si>
  <si>
    <t>Batch 10: Auth &amp; Token Validation (Foundational)</t>
  </si>
  <si>
    <t>**Task:** Generate TDD Test Suite for Authentication &amp; Middleware.
**Reference:** Architecture v2.1 Section 6.1 (4 Layers Security).
**Suites to Implement:**
1.  `TS-UC-SEC-JWT-001` (JWT Validation): Verify signature decoding and expiration check.
2.  `TS-UAD-HTTP-MDW-001` (Tenant Middleware): Verify that `X-Tenant-ID` header is extracted and injected into the Request Context.
**Instructions:**
* **Location:** `tests/core/auth/test_jwt_validator.py`
* **Red Phase:** Write a test `test_expired_token_raises_401`.
* **Green Phase:** Implement the dependency injection `get_current_user` in FastAPI.
* **Mocking:** Mock the Public Key provider (Supabase/Auth0) to avoid real network calls during tests.</t>
  </si>
  <si>
    <t>**Task:** TDD for Application Services (Rate Limiting &amp; Budget).
**Reference:** Architecture v2.1 Section 8.3 (Resilience Config) and 6.3.2.
**Suites to Implement:**
1.  **ID:** `TS-UA-SVC-RTL-001` (Rate Limit Service)
    * **Goal:** Implement the logic that checks Redis for call counts.
    * **Red Test:** Assert that a 61st call within 1 minute raises `RateLimitExceededException`.
    * **Key:** This is the *Service* layer logic, distinct from the MCP Gateway.
2.  **ID:** `TS-UA-SVC-BDG-001` (Budget Tracking Service)
    * **Goal:** Track AI token usage cost against a daily limit ($30).
    * **Red Test:** `test_budget_throttle_at_95_percent`. Mock a repository returning $29.00 usage. Assert that the service returns a `throttle=True` flag or raises a warning event.
**Action:**
Create `tests/core/services/test_rate_limiter.py` and `tests/modules/coherence/application/services/test_budget_tracker.py`. Use `unittest.mock` to simulate Redis and the Cost Repository.</t>
  </si>
  <si>
    <t>BATCH 11: Application Services (Rate Limits &amp; Budget)</t>
  </si>
  <si>
    <t>BATCH 12: HTTP Layer &amp; Thin Routers</t>
  </si>
  <si>
    <t>**Task:** TDD for HTTP Adapters (Routers &amp; Error Handling).
**Reference:** Architecture v2.1 Section 5.2 (Rule R1: Thin Routers).
**Suites to Implement:**
1.  **ID:** `TS-UAD-HTTP-RTR-001` (All Routers Validation)
    * **Goal:** Verify that Routers **DO NOT** contain business logic.
    * **Strategy:** Write a test that mocks the `UseCase` and verifies the Router calls it with the exact Pydantic DTO derived from the JSON body.
    * **Assertion:** Verify HTTP Status Codes (201 for Create, 200 for OK).
2.  **ID:** `TS-UAD-HTTP-ERR-001` (Error Handlers)
    * **Goal:** Ensure `DomainExceptions` map to correct HTTP codes.
    * **Red Test:** Raise a `ResourceNotFound` domain exception inside a mock route. Assert the response is `404 Not Found` (Standardized JSON), NOT `500 Internal Server Error`.
**Action:**
Create `tests/adapters/http/test_router_delegation.py`. Use `FastAPI.testclient.TestClient`.</t>
  </si>
  <si>
    <t>BATCH 13: Advanced Security &amp; Anti-Gaming</t>
  </si>
  <si>
    <t>**Task:** TDD for Tenant Isolation &amp; Anti-Gaming Logic.
**Reference:** Architecture v2.1 Section 14.2 (Anti-Gaming Policy).
**Suites to Implement:**
1.  **ID:** `TS-UC-SEC-TNT-001` (Tenant Context &amp; Isolation)
    * **Goal:** Verify the `ContextVar` mechanism.
    * **Red Test:** Attempt to access `Tenant A`'s cached data while the Context is set to `Tenant B`. Must raise `TenantIsolationError` or return None.
2.  **ID:** `TS-UC-SEC-GAM-001` (Anti-Gaming Detection)
    * **Goal:** Detect manipulation patterns in Coherence Scores.
    * **Red Test:** `test_detect_resolve_reintroduce_pattern`.
    * **Scenario:** Simulate a user creating an alert, resolving it, and creating the exact same alert 3 times in 5 minutes. The system must flag this as "Gaming".
**Action:**
Create `tests/core/security/test_tenant_context.py` and `tests/modules/coherence/domain/test_anti_gaming.py`.</t>
  </si>
  <si>
    <t>BATCH 14: E2E Error Recovery &amp; Concurrency</t>
  </si>
  <si>
    <t>**Task:** TDD for End-to-End Resilience (Timeouts &amp; Concurrency).
**Reference:** Architecture v2.1 Section 8.1 (Resilience) &amp; 12.3.
**Suites to Implement:**
1.  **ID:** `TS-E2E-ERR-TIM-001` (Timeout &amp; Fallback)
    * **Goal:** Simulate a slow LLM response.
    * **Red Test:** Mock the LLM client to sleep for 31 seconds. Assert that the system aborts and returns a specific "Fallback/Retry" status, not a generic timeout crash.
2.  **ID:** `TS-E2E-ERR-CON-001` (Concurrent Modifications)
    * **Goal:** Test Optimistic Locking on WBS Items.
    * **Red Test:**
        * User A fetches WBS Item v1.
        * User B fetches WBS Item v1.
        * User A updates -&gt; v2 (Success).
        * User B tries to update v1 -&gt; **MUST FAIL** (`StaleObjectError` / 409 Conflict).
3.  **ID:** `TS-E2E-ERR-REC-001` (Error Recovery)
    * **Goal:** Test "Dead Letter Queue" replay.
    * **Red Test:** Simulate a Celery task failure. Verify the message moves to DLQ. Manually trigger "Replay" and verify success.
**Action:**
Create `tests/e2e/resilience/test_concurrency.py`. This requires a real DB container to test the versioning/locking mechanism.</t>
  </si>
  <si>
    <t>**Role:** Senior Backend Engineer &amp; TDD Specialist.
**Project:** C2Pro v2.1 (Modular Monolith - Documents Module).
**Goal:** strict TDD (Red-Green-Refactor) for the Extraction Application Services.
**Task:** Generate the Test Suite for IDs 73 and 74.
**Context:**
We are implementing the `ExtractionService` in the Application layer. This service orchestrates calling an LLM Port, receiving a JSON response, and mapping it to internal Domain Entities.
**Requirements for Test Suites:**
1.  **ID: TS-UA-SVC-EXT-001 (Clause Extraction Service)**
    * **Goal:** Test the orchestration of clause extraction.
    * **Test Case A (Fail/Red):** Mock the `ILLMClientPort` to return a malformed JSON string (e.g., missing closing bracket). Assert that the service catches this and raises a custom `ContentParsingException`.
    * **Test Case B (Success/Triangulation):** Mock the `ILLMClientPort` to return valid JSON with 2 clauses. Assert that the service returns a `List[ClauseDTO]` of size 2, and the content matches exactly.
2.  **ID: TS-UA-SVC-EXT-002 (Entity Extraction Service)**
    * **Goal:** Test the specific logic for extracting Entities (Money, Dates) from text.
    * **Test Case (Red):** Input text: *"The total penalty is 150.000€ due by 2026-01-01"*.
    * **Assertion:** Verify the service returns:
        * One `MoneyEntity` (amount=150000, currency=EUR).
        * One `DateEntity` (value=2026-01-01).
    * **Constraint:** Use the "Fake It" pattern first (hardcode the return), then refactor to use a Regex or Mock Strategy.
**Output:**
Generate the file `tests/modules/documents/application/services/test_extraction_services.py`. Include the necessary Mocks (`MagicMock`) and the Skeleton DTO classes so the tests can run (but fail).</t>
  </si>
  <si>
    <t>Extraction Services Logic</t>
  </si>
  <si>
    <t>Cross-Module Integrations</t>
  </si>
  <si>
    <t>**Role:** Senior Integration Architect &amp; TDD Specialist.
**Project:** C2Pro v2.1 (Modular Monolith - Integration Layer).
**Goal:** strict TDD (Red-Green-Refactor) for Module Inter-communication.
**Task:** Generate the Test Suite for IDs 99 and 101.
**Context:**
We are testing the boundaries between modules. These tests ensure that Module A produces data/events in the exact format Module B expects, without tight coupling (ORM leaks).
**Requirements for Test Suites:**
1.  **ID: TS-INT-MOD-DOC-001 (Documents → Analysis Integration)**
    * **Mechanism:** Asynchronous Event Bus.
    * **Goal:** Verify that when Documents module finishes processing, Analysis module is notified.
    * **Test Case (Red):** Simulate the "Process Completed" event in the Documents module.
    * **Mocking:** Mock the `EventBus`.
    * **Assertion:** Verify `EventBus.publish` was called with:
        * Topic: `documents.processed`
        * Payload: `{"document_id": "...", "tenant_id": "..."}`.
    * **Check:** Ensure NO extra data (like raw PDF bytes) is sent in the event payload (Keep payload thin).
2.  **ID: TS-INT-MOD-STK-001 (Stakeholders → RACI Integration)**
    * **Mechanism:** Synchronous Port/Adapter or DTO Exchange.
    * **Goal:** Verify that the RACI Generator (Analysis Module) can consume Stakeholders (Stakeholder Module).
    * **Test Case (Red):**
        * Define a `StakeholderDTO` (id, name, role).
        * Create a test where the RACI Generator receives a list of 3 `StakeholderDTOs`.
        * Assert that the generated RACI Matrix has columns matching exactly those 3 stakeholder IDs.
    * **Contract Test:** Explicitly check that `StakeholderDTO` is immutable (frozen) and does not contain SQLAlchemy state.
**Output:**
Generate the file `tests/integration/boundaries/test_module_handover.py`. Focus on validating the **Data Contracts (DTOs)** and **Event Signatures**.</t>
  </si>
  <si>
    <t>**Role:** Senior Staff Software Architect &amp; TDD Evangelist.
**Project:** C2Pro (Construction Command Pro) - Version 2.1.
**Architecture:** Modular Monolith with strict Hexagonal Architecture (Ports &amp; Adapters).
**Tech Stack:** Python 3.11+, FastAPI, Pytest (Asyncio + Mock), SQLAlchemy (Async), Pydantic v2, Celery, Redis.
**Reference Documentation (Context Sources):**
You must align all code generation with the logic defined in these core files:
1.  `PLAN_ARQUITECTURA_v2.1.md` (Architecture Rules, Patterns, and Phases).
2.  `C2PRO_TEST_SUITES_INDEX_v1.1.md` (The Test Suite Master List &amp; IDs).
3.  `c2pro_master_flow_diagram_v2.2.1.md` (System Data Flow).
4.  `c2pro_master_flow_v2.2.mermaid` (Visual Flow Reference).
**Directory Structure (SOURCE):**
The project source code is located at `apps/api/src/`. All imports must stem from here.
```text
apps/api/src/
├── core/                       # Shared Kernel (Auth, EventBus, DB Config)
└── {MODULE_NAME}/              # e.g., documents, coherence, procurement
    ├── adapters/
    │   ├── http/               # Routers &amp; API Contracts
    │   └── persistence/        # Repositories (SQLAlchemy/Neo4j)
    ├── application/
    │   ├── services/           # Use Cases implementation
    │   ├── ports/              # Interfaces (Repositories, External Services)
    │   └── dtos/               # Data Transfer Objects
    └── domain/
        ├── entities/           # Pure Python Classes (No SQL Dependencies)
        ├── events/             # Domain Events
        └── exceptions/         # Domain Exceptions
Test Directory Structure (TARGET LOCATION): You must generate test files mirroring the source structure inside apps/api/tests/.
Plaintext
apps/api/tests/
├── conftest.py                 # Global fixtures (Client, DB Session)
├── core/                       # Tests for Shared Kernel (Auth/Security)
└── modules/
    └── {MODULE_NAME}/          # Matches src/{MODULE_NAME}
        ├── domain/             # Unit Tests (Mocked) -&gt; tests entities &amp; rules
        ├── application/        # Unit Tests (Mocked) -&gt; tests services &amp; ports
        └── adapters/           # Integration Tests   -&gt; tests routers &amp; repos
Example: Tests for src/documents/domain/clause.py MUST be saved to apps/api/tests/modules/documents/domain/test_clause.py.
Global TDD &amp; Code Rules:
Red-Green-Refactor Cycle:
RED: Generate the Test File first. It MUST fail (ImportError or AssertionError).
GREEN: Generate the Implementation File with minimal code ("Fake It") to pass.
REFACTOR: Optimize only after the test passes.
Strict Isolation (Hexagonal):
Domain tests must NEVER import Infrastructure or DB. Use unittest.mock.
Application tests must mock Ports/Adapters.
Cross-Module Rule: Modules communicate ONLY via Public Ports/DTOs.
Traceability: The Test Class Docstring must explicitly state: Refers to Suite ID: [ID].
Instruction: Wait for the specific Test Suite ID prompt. When received, act as the developer writing the code for that specific ID, ensuring the file path matches the Test Directory Structure defined above and strictly follows the Reference Documentation.</t>
  </si>
  <si>
    <t>old</t>
  </si>
  <si>
    <t>new</t>
  </si>
  <si>
    <t>estado</t>
  </si>
  <si>
    <t>LLM</t>
  </si>
  <si>
    <t>codex</t>
  </si>
  <si>
    <t xml:space="preserve"> pytest apps/api/tests/core/security/test_mcp_gateway.py -v</t>
  </si>
  <si>
    <t>tesr</t>
  </si>
  <si>
    <t>done</t>
  </si>
  <si>
    <t xml:space="preserve">pytest apps/api/tests/core/security/test_anonymizer.py -v </t>
  </si>
  <si>
    <t>pytest apps/api/tests/core/security/test_tenant_context.py -v</t>
  </si>
  <si>
    <t>pytest apps/api/tests/modules/coherence/domain/test_anti_gaming.py -v</t>
  </si>
  <si>
    <t xml:space="preserve">pytest apps/api/tests/core/security/test_mcp_gateway.py -v   </t>
  </si>
  <si>
    <t>pytest apps/api/tests/core/auth/test_jwt_validator.py -v</t>
  </si>
  <si>
    <t>pytest apps/api/tests/modules/documents/domain/test_clause.py -v</t>
  </si>
  <si>
    <t>src/documents/domain/services/entity_extraction.py</t>
  </si>
  <si>
    <t>src/documents/application/services/clause_extraction_service.py</t>
  </si>
  <si>
    <t>apps\api\tests\coherence\test_rules_engine.py</t>
  </si>
  <si>
    <t>apps/api/tests/modules/coherence/domain/test_rules_engine.py</t>
  </si>
  <si>
    <t>Layer/Category</t>
  </si>
  <si>
    <t>Test Case Name</t>
  </si>
  <si>
    <t>CORE</t>
  </si>
  <si>
    <t>test_001_view_operation_projects_summary_allowed</t>
  </si>
  <si>
    <t>MCP Gateway Allowlist Validation</t>
  </si>
  <si>
    <t>test_002_view_operation_alerts_active_allowed</t>
  </si>
  <si>
    <t>test_003_view_operation_coherence_latest_allowed</t>
  </si>
  <si>
    <t>test_004_view_operation_documents_metadata_allowed</t>
  </si>
  <si>
    <t>test_005_view_operation_stakeholders_list_allowed</t>
  </si>
  <si>
    <t>test_006_view_operation_wbs_structure_allowed</t>
  </si>
  <si>
    <t>test_007_view_operation_bom_items_allowed</t>
  </si>
  <si>
    <t>test_008_view_operation_audit_recent_allowed</t>
  </si>
  <si>
    <t>test_009_function_operation_create_alert_allowed</t>
  </si>
  <si>
    <t>test_010_function_operation_update_score_allowed</t>
  </si>
  <si>
    <t>test_011_function_operation_flag_review_allowed</t>
  </si>
  <si>
    <t>test_012_function_operation_add_note_allowed</t>
  </si>
  <si>
    <t>test_013_function_operation_trigger_recalc_allowed</t>
  </si>
  <si>
    <t>test_014_unknown_operation_blocked</t>
  </si>
  <si>
    <t>test_015_destructive_operation_delete_all_blocked</t>
  </si>
  <si>
    <t>test_016_destructive_operation_drop_table_blocked</t>
  </si>
  <si>
    <t>test_017_tenant_extended_allowlist_custom_operation</t>
  </si>
  <si>
    <t>test_018_tenant_restricted_allowlist_blocked</t>
  </si>
  <si>
    <t>test_edge_001_empty_operation_name</t>
  </si>
  <si>
    <t>test_edge_002_null_tenant_id</t>
  </si>
  <si>
    <t>test_edge_003_case_insensitive_operation</t>
  </si>
  <si>
    <t>test_edge_004_whitespace_in_operation</t>
  </si>
  <si>
    <t>test_001_request_under_limit_allowed</t>
  </si>
  <si>
    <t>MCP Gateway Rate Limiting</t>
  </si>
  <si>
    <t>test_002_request_at_limit_59_allowed</t>
  </si>
  <si>
    <t>test_003_request_at_limit_60_allowed</t>
  </si>
  <si>
    <t>test_004_request_over_limit_61_blocked</t>
  </si>
  <si>
    <t>test_005_request_over_limit_100_blocked</t>
  </si>
  <si>
    <t>test_006_window_reset_after_60_seconds</t>
  </si>
  <si>
    <t>test_007_tenant_isolation_separate_counters</t>
  </si>
  <si>
    <t>test_008_tenant_a_full_tenant_b_available</t>
  </si>
  <si>
    <t>test_009_sliding_window_calculation</t>
  </si>
  <si>
    <t>test_010_rate_limit_result_retry_after_header</t>
  </si>
  <si>
    <t>test_011_rate_limit_audit_log_on_block</t>
  </si>
  <si>
    <t>test_012_rate_limit_warning_at_80_percent</t>
  </si>
  <si>
    <t>test_013_concurrent_requests_race_condition</t>
  </si>
  <si>
    <t>test_014_rate_limit_reset_at_midnight</t>
  </si>
  <si>
    <t>test_edge_001_burst_59_requests_simultaneous</t>
  </si>
  <si>
    <t>test_edge_002_exactly_60_second_boundary</t>
  </si>
  <si>
    <t>test_edge_003_clock_skew_handling</t>
  </si>
  <si>
    <t>test_001_query_under_5s_allowed</t>
  </si>
  <si>
    <t>MCP Gateway Query Limits</t>
  </si>
  <si>
    <t>test_002_query_at_5s_allowed</t>
  </si>
  <si>
    <t>test_003_query_over_5s_timeout_cancelled</t>
  </si>
  <si>
    <t>test_004_query_result_under_1000_rows_allowed</t>
  </si>
  <si>
    <t>test_005_query_result_at_1000_rows_allowed</t>
  </si>
  <si>
    <t>test_006_query_result_over_1000_rows_truncated</t>
  </si>
  <si>
    <t>test_007_query_result_truncated_flag_set</t>
  </si>
  <si>
    <t>test_008_timeout_returns_partial_results</t>
  </si>
  <si>
    <t>test_009_timeout_audit_log_created</t>
  </si>
  <si>
    <t>test_010_row_limit_audit_log_created</t>
  </si>
  <si>
    <t>test_011_combined_timeout_and_row_limit</t>
  </si>
  <si>
    <t>test_012_query_limit_config_per_tenant</t>
  </si>
  <si>
    <t>test_edge_001_exactly_1000_rows</t>
  </si>
  <si>
    <t>test_edge_002_empty_result_set</t>
  </si>
  <si>
    <t>test_edge_003_streaming_query_timeout</t>
  </si>
  <si>
    <t>test_001_detect_dni_valid_12345678Z</t>
  </si>
  <si>
    <t>Anonymizer PII Detection</t>
  </si>
  <si>
    <t>test_002_detect_dni_valid_87654321X</t>
  </si>
  <si>
    <t>test_003_detect_dni_invalid_length_9_digits</t>
  </si>
  <si>
    <t>test_004_detect_dni_invalid_length_7_digits</t>
  </si>
  <si>
    <t>test_005_detect_dni_invalid_letter_checksum</t>
  </si>
  <si>
    <t>test_006_detect_multiple_dnis_in_text</t>
  </si>
  <si>
    <t>test_007_detect_email_simple</t>
  </si>
  <si>
    <t>test_008_detect_email_with_subdomain</t>
  </si>
  <si>
    <t>test_009_detect_email_with_plus_sign</t>
  </si>
  <si>
    <t>test_010_detect_email_invalid_no_at</t>
  </si>
  <si>
    <t>test_011_detect_multiple_emails_in_text</t>
  </si>
  <si>
    <t>test_012_detect_phone_mobile_612345678</t>
  </si>
  <si>
    <t>test_013_detect_phone_mobile_with_prefix_34</t>
  </si>
  <si>
    <t>test_014_detect_phone_landline_912345678</t>
  </si>
  <si>
    <t>test_015_detect_phone_invalid_short</t>
  </si>
  <si>
    <t>test_016_detect_multiple_phones_in_text</t>
  </si>
  <si>
    <t>test_017_detect_iban_spain_valid</t>
  </si>
  <si>
    <t>test_018_detect_iban_germany_valid</t>
  </si>
  <si>
    <t>test_019_detect_iban_invalid_checksum</t>
  </si>
  <si>
    <t>test_020_detect_iban_invalid_length</t>
  </si>
  <si>
    <t>test_021_detect_all_pii_types_in_document</t>
  </si>
  <si>
    <t>test_022_detect_no_pii_clean_document</t>
  </si>
  <si>
    <t>test_023_detect_pii_positions_returned</t>
  </si>
  <si>
    <t>test_024_detect_pii_counts_by_type</t>
  </si>
  <si>
    <t>test_edge_001_pii_in_different_languages</t>
  </si>
  <si>
    <t>test_edge_002_pii_with_unicode_characters</t>
  </si>
  <si>
    <t>test_edge_003_pii_in_html_escaped_text</t>
  </si>
  <si>
    <t>test_001_redact_dni_to_redacted</t>
  </si>
  <si>
    <t>Anonymizer Strategies</t>
  </si>
  <si>
    <t>test_002_redact_email_to_redacted</t>
  </si>
  <si>
    <t>test_003_redact_phone_to_redacted</t>
  </si>
  <si>
    <t>test_004_redact_multiple_pii_all_redacted</t>
  </si>
  <si>
    <t>test_005_hash_dni_deterministic</t>
  </si>
  <si>
    <t>test_006_hash_same_value_same_hash</t>
  </si>
  <si>
    <t>test_007_hash_different_values_different_hash</t>
  </si>
  <si>
    <t>test_008_hash_irreversible_validation</t>
  </si>
  <si>
    <t>test_009_pseudonymize_name_to_persona_001</t>
  </si>
  <si>
    <t>test_010_pseudonymize_consistent_same_name</t>
  </si>
  <si>
    <t>test_011_pseudonymize_different_names_different_ids</t>
  </si>
  <si>
    <t>test_012_pseudonymize_in_context_preserved</t>
  </si>
  <si>
    <t>test_013_strategy_by_pii_type_default</t>
  </si>
  <si>
    <t>test_014_strategy_by_tenant_config</t>
  </si>
  <si>
    <t>test_015_strategy_mixed_per_type</t>
  </si>
  <si>
    <t>test_016_strategy_none_keeps_original</t>
  </si>
  <si>
    <t>test_edge_001_nested_pii_in_pii</t>
  </si>
  <si>
    <t>test_edge_002_overlapping_pii_positions</t>
  </si>
  <si>
    <t>test_edge_003_empty_text_no_error</t>
  </si>
  <si>
    <t>Tests not individually listed</t>
  </si>
  <si>
    <t>Anti-Gaming Detection</t>
  </si>
  <si>
    <t>test_001_mass_changes_11_in_hour_detected</t>
  </si>
  <si>
    <t>test_002_mass_changes_10_in_hour_allowed</t>
  </si>
  <si>
    <t>test_003_mass_changes_window_reset</t>
  </si>
  <si>
    <t>test_004_resolve_reintroduce_3_times_detected</t>
  </si>
  <si>
    <t>test_005_resolve_reintroduce_2_times_allowed</t>
  </si>
  <si>
    <t>test_006_resolve_reintroduce_different_hash_allowed</t>
  </si>
  <si>
    <t>test_007_high_score_few_docs_detected</t>
  </si>
  <si>
    <t>test_008_high_score_many_docs_allowed</t>
  </si>
  <si>
    <t>test_009_high_score_threshold_boundary</t>
  </si>
  <si>
    <t>test_010_weight_change_25_percent_detected</t>
  </si>
  <si>
    <t>test_011_weight_change_15_percent_allowed</t>
  </si>
  <si>
    <t>test_012_weight_change_tracking_24h_window</t>
  </si>
  <si>
    <t>test_edge_001_multiple_violations_combined</t>
  </si>
  <si>
    <t>test_edge_002_violation_penalty_application</t>
  </si>
  <si>
    <t>test_edge_003_violation_audit_logging</t>
  </si>
  <si>
    <t>DOMAIN-DOCS</t>
  </si>
  <si>
    <t>test_001_clause_creation_with_all_fields</t>
  </si>
  <si>
    <t>Clause Entity</t>
  </si>
  <si>
    <t>test_002_clause_creation_minimum_fields</t>
  </si>
  <si>
    <t>test_003_clause_creation_fails_without_content</t>
  </si>
  <si>
    <t>test_004_clause_creation_fails_without_document_id</t>
  </si>
  <si>
    <t>test_005_clause_creation_fails_without_tenant_id</t>
  </si>
  <si>
    <t>test_006_clause_immutability_after_creation</t>
  </si>
  <si>
    <t>test_007_clause_number_format_primera</t>
  </si>
  <si>
    <t>test_008_clause_number_format_numeric</t>
  </si>
  <si>
    <t>test_009_clause_number_format_decimal</t>
  </si>
  <si>
    <t>test_010_clause_number_normalization</t>
  </si>
  <si>
    <t>test_011_clause_content_max_length</t>
  </si>
  <si>
    <t>test_012_clause_content_empty_rejected</t>
  </si>
  <si>
    <t>test_013_clause_document_fk_valid</t>
  </si>
  <si>
    <t>test_014_clause_document_fk_invalid_rejected</t>
  </si>
  <si>
    <t>test_015_clause_tenant_fk_valid</t>
  </si>
  <si>
    <t>test_016_clause_tenant_fk_invalid_rejected</t>
  </si>
  <si>
    <t>test_017_clause_on_delete_restrict_document</t>
  </si>
  <si>
    <t>test_018_clause_on_delete_restrict_tenant</t>
  </si>
  <si>
    <t>test_019_clause_embedding_vector_size</t>
  </si>
  <si>
    <t>test_020_clause_embedding_generation</t>
  </si>
  <si>
    <t>test_021_clause_embedding_null_allowed</t>
  </si>
  <si>
    <t>test_022_clause_embedding_update</t>
  </si>
  <si>
    <t>Entity Extraction - Dates</t>
  </si>
  <si>
    <t>test_001_date_dd_mm_yyyy_slash</t>
  </si>
  <si>
    <t>test_002_date_yyyy_mm_dd_dash</t>
  </si>
  <si>
    <t>test_003_date_dd_month_yyyy_spanish</t>
  </si>
  <si>
    <t>test_004_date_month_dd_yyyy_english</t>
  </si>
  <si>
    <t>test_005_date_relative_30_days</t>
  </si>
  <si>
    <t>test_006_date_relative_3_months</t>
  </si>
  <si>
    <t>test_007_date_relative_1_year</t>
  </si>
  <si>
    <t>test_008_date_relative_from_date</t>
  </si>
  <si>
    <t>test_009_date_context_entrega</t>
  </si>
  <si>
    <t>test_010_date_context_firma</t>
  </si>
  <si>
    <t>test_011_date_context_inicio</t>
  </si>
  <si>
    <t>test_012_date_context_fin</t>
  </si>
  <si>
    <t>test_013_multiple_dates_extraction</t>
  </si>
  <si>
    <t>test_014_multiple_dates_ordering</t>
  </si>
  <si>
    <t>test_015_date_range_extraction</t>
  </si>
  <si>
    <t>test_016_date_invalid_format_ignored</t>
  </si>
  <si>
    <t>Entity Extraction - Money</t>
  </si>
  <si>
    <t>test_001_money_eur_symbol_suffix</t>
  </si>
  <si>
    <t>test_002_money_eur_symbol_prefix</t>
  </si>
  <si>
    <t>test_003_money_eur_word_euros</t>
  </si>
  <si>
    <t>test_004_money_eur_thousands_separator</t>
  </si>
  <si>
    <t>test_005_money_usd_symbol</t>
  </si>
  <si>
    <t>test_006_money_usd_word</t>
  </si>
  <si>
    <t>test_007_money_usd_thousands_separator</t>
  </si>
  <si>
    <t>test_008_money_context_anticipo</t>
  </si>
  <si>
    <t>test_009_money_context_pago_final</t>
  </si>
  <si>
    <t>test_010_money_context_penalizacion</t>
  </si>
  <si>
    <t>test_011_money_context_total</t>
  </si>
  <si>
    <t>test_012_multiple_amounts_extraction</t>
  </si>
  <si>
    <t>test_013_money_percentage_extraction</t>
  </si>
  <si>
    <t>test_014_money_negative_amount</t>
  </si>
  <si>
    <t>DOMAIN-COHERENCE</t>
  </si>
  <si>
    <t>test_001_r11_wbs_level4_no_activities_alert</t>
  </si>
  <si>
    <t>Rules Engine - SCOPE</t>
  </si>
  <si>
    <t>test_002_r11_wbs_level4_with_activities_pass</t>
  </si>
  <si>
    <t>test_003_r11_wbs_level3_no_activities_ignored</t>
  </si>
  <si>
    <t>test_004_r11_wbs_level2_no_activities_ignored</t>
  </si>
  <si>
    <t>test_005_r11_multiple_wbs_level4_violations</t>
  </si>
  <si>
    <t>test_006_r11_alert_severity_medium</t>
  </si>
  <si>
    <t>test_007_r12_wbs_no_budget_line_alert</t>
  </si>
  <si>
    <t>test_008_r12_wbs_with_budget_line_pass</t>
  </si>
  <si>
    <t>test_009_r12_wbs_budget_zero_warning</t>
  </si>
  <si>
    <t>test_010_r12_multiple_wbs_violations</t>
  </si>
  <si>
    <t>test_011_r12_alert_severity_high</t>
  </si>
  <si>
    <t>test_012_r12_affected_entities_list</t>
  </si>
  <si>
    <t>test_013_r13_scope_clause_no_wbs_alert</t>
  </si>
  <si>
    <t>test_014_r13_scope_clause_with_wbs_pass</t>
  </si>
  <si>
    <t>test_015_r13_partial_coverage_calculation</t>
  </si>
  <si>
    <t>test_016_r13_coverage_percentage_80</t>
  </si>
  <si>
    <t>test_017_r13_uncovered_clauses_list</t>
  </si>
  <si>
    <t>test_018_r13_alert_severity_high</t>
  </si>
  <si>
    <t>Rules Engine - BUDGET</t>
  </si>
  <si>
    <t>test_001_r6_deviation_10_percent_alert</t>
  </si>
  <si>
    <t>test_002_r6_deviation_5_percent_pass</t>
  </si>
  <si>
    <t>test_003_r6_deviation_4_9_percent_pass</t>
  </si>
  <si>
    <t>test_004_r6_over_budget_critical</t>
  </si>
  <si>
    <t>test_005_r6_under_budget_warning</t>
  </si>
  <si>
    <t>test_006_r6_exact_match_pass</t>
  </si>
  <si>
    <t>test_007_r15_bom_no_budget_alert</t>
  </si>
  <si>
    <t>test_008_r15_bom_with_budget_pass</t>
  </si>
  <si>
    <t>test_009_r15_bom_client_provided_exception</t>
  </si>
  <si>
    <t>test_010_r15_multiple_bom_violations</t>
  </si>
  <si>
    <t>test_011_r15_affected_items_list</t>
  </si>
  <si>
    <t>test_012_r16_deviation_11_percent_alert</t>
  </si>
  <si>
    <t>test_013_r16_deviation_10_percent_pass</t>
  </si>
  <si>
    <t>test_014_r16_over_budget_critical</t>
  </si>
  <si>
    <t>test_015_r16_under_budget_different_severity</t>
  </si>
  <si>
    <t>test_016_r16_trend_calculation</t>
  </si>
  <si>
    <t>test_001_r1_dates_mismatch_alert</t>
  </si>
  <si>
    <t>Rules Engine - TIME</t>
  </si>
  <si>
    <t>test_002_r1_dates_match_pass</t>
  </si>
  <si>
    <t>test_003_r1_schedule_late_critical</t>
  </si>
  <si>
    <t>test_004_r1_schedule_early_warning</t>
  </si>
  <si>
    <t>test_005_r1_delta_days_calculation</t>
  </si>
  <si>
    <t>test_006_r2_milestone_no_activity_alert</t>
  </si>
  <si>
    <t>test_007_r2_milestone_with_activity_pass</t>
  </si>
  <si>
    <t>test_008_r2_milestone_date_mismatch_alert</t>
  </si>
  <si>
    <t>test_009_r2_multiple_milestones_violations</t>
  </si>
  <si>
    <t>test_010_r2_unlinked_milestones_list</t>
  </si>
  <si>
    <t>test_011_r5_activity_exceeds_contract_alert</t>
  </si>
  <si>
    <t>test_012_r5_activity_within_contract_pass</t>
  </si>
  <si>
    <t>test_013_r5_exceeding_activities_list</t>
  </si>
  <si>
    <t>test_014_r5_alert_severity_critical</t>
  </si>
  <si>
    <t>test_015_r14_order_date_passed_critical</t>
  </si>
  <si>
    <t>test_016_r14_order_date_tight_warning</t>
  </si>
  <si>
    <t>test_001_subscore_no_alerts_100_percent</t>
  </si>
  <si>
    <t>Score Calculator - SubScores</t>
  </si>
  <si>
    <t>test_002_subscore_one_alert_penalized</t>
  </si>
  <si>
    <t>test_003_subscore_multiple_alerts_cumulative</t>
  </si>
  <si>
    <t>test_004_subscore_severity_low_penalty_5</t>
  </si>
  <si>
    <t>test_005_subscore_severity_medium_penalty_10</t>
  </si>
  <si>
    <t>test_006_subscore_severity_high_penalty_20</t>
  </si>
  <si>
    <t>test_007_subscore_severity_critical_penalty_30</t>
  </si>
  <si>
    <t>test_008_subscore_scope_calculation</t>
  </si>
  <si>
    <t>test_009_subscore_budget_calculation</t>
  </si>
  <si>
    <t>test_010_subscore_quality_calculation</t>
  </si>
  <si>
    <t>test_011_subscore_technical_calculation</t>
  </si>
  <si>
    <t>test_012_subscore_legal_calculation</t>
  </si>
  <si>
    <t>test_013_subscore_time_calculation</t>
  </si>
  <si>
    <t>test_014_subscore_floor_at_zero</t>
  </si>
  <si>
    <t>test_001_global_score_formula_verification</t>
  </si>
  <si>
    <t>Score Calculator - Global</t>
  </si>
  <si>
    <t>test_002_global_score_default_weights</t>
  </si>
  <si>
    <t>test_003_global_score_all_100_equals_100</t>
  </si>
  <si>
    <t>test_004_global_score_all_0_equals_0</t>
  </si>
  <si>
    <t>test_005_global_score_mixed_subscores</t>
  </si>
  <si>
    <t>test_006_global_score_range_0_to_100</t>
  </si>
  <si>
    <t>test_007_weights_sum_validation</t>
  </si>
  <si>
    <t>test_008_weights_normalization_auto</t>
  </si>
  <si>
    <t>test_009_weights_custom_budget_30</t>
  </si>
  <si>
    <t>test_010_weights_custom_time_25</t>
  </si>
  <si>
    <t>test_011_weights_per_project_type</t>
  </si>
  <si>
    <t>test_012_weights_history_tracking</t>
  </si>
  <si>
    <t>test_001_detect_mass_changes_15_in_30min</t>
  </si>
  <si>
    <t>Anti-Gaming Policy</t>
  </si>
  <si>
    <t>test_002_no_violation_10_in_60min</t>
  </si>
  <si>
    <t>test_003_mass_changes_window_sliding</t>
  </si>
  <si>
    <t>test_004_mass_changes_flag_for_review</t>
  </si>
  <si>
    <t>test_005_detect_resolve_reintroduce_4_times</t>
  </si>
  <si>
    <t>test_006_no_violation_2_times</t>
  </si>
  <si>
    <t>test_007_hash_comparison_same_content</t>
  </si>
  <si>
    <t>test_008_penalty_minus_5_points</t>
  </si>
  <si>
    <t>test_009_detect_95_percent_3_docs</t>
  </si>
  <si>
    <t>test_010_no_violation_95_percent_50_docs</t>
  </si>
  <si>
    <t>test_011_threshold_90_percent_5_docs</t>
  </si>
  <si>
    <t>test_012_require_audit_action</t>
  </si>
  <si>
    <t>test_013_detect_weight_change_25_percent</t>
  </si>
  <si>
    <t>test_014_no_violation_change_15_percent</t>
  </si>
  <si>
    <t>test_015_24h_window_tracking</t>
  </si>
  <si>
    <t>test_016_notify_admin_action</t>
  </si>
  <si>
    <t>DOMAIN-PROJECTS</t>
  </si>
  <si>
    <t>test_001_wbs_item_creation_all_fields</t>
  </si>
  <si>
    <t>WBS Item Entity</t>
  </si>
  <si>
    <t>test_002_wbs_item_creation_minimum_fields</t>
  </si>
  <si>
    <t>test_003_wbs_item_fails_without_code</t>
  </si>
  <si>
    <t>test_004_wbs_item_fails_without_name</t>
  </si>
  <si>
    <t>test_005_wbs_item_fails_invalid_level</t>
  </si>
  <si>
    <t>test_006_wbs_item_immutability</t>
  </si>
  <si>
    <t>test_007_wbs_code_format_1</t>
  </si>
  <si>
    <t>test_008_wbs_code_format_1_1</t>
  </si>
  <si>
    <t>test_009_wbs_code_format_1_1_1</t>
  </si>
  <si>
    <t>test_010_wbs_code_format_1_1_1_1</t>
  </si>
  <si>
    <t>test_011_wbs_code_invalid_format_rejected</t>
  </si>
  <si>
    <t>test_012_wbs_code_uniqueness_per_project</t>
  </si>
  <si>
    <t>test_013_wbs_level_1_valid</t>
  </si>
  <si>
    <t>test_014_wbs_level_4_valid</t>
  </si>
  <si>
    <t>test_015_wbs_level_0_invalid</t>
  </si>
  <si>
    <t>test_016_wbs_level_5_invalid</t>
  </si>
  <si>
    <t>test_017_wbs_level_matches_code_depth</t>
  </si>
  <si>
    <t>test_018_wbs_level_parent_child_validation</t>
  </si>
  <si>
    <t>DOMAIN-PROCUREMENT</t>
  </si>
  <si>
    <t>test_001_optimal_date_production_only</t>
  </si>
  <si>
    <t>Lead Time Calculator - Basic</t>
  </si>
  <si>
    <t>test_002_optimal_date_production_transit</t>
  </si>
  <si>
    <t>test_003_optimal_date_production_transit_buffer</t>
  </si>
  <si>
    <t>test_004_optimal_date_all_components</t>
  </si>
  <si>
    <t>test_005_lead_time_breakdown_returned</t>
  </si>
  <si>
    <t>test_006_required_on_site_calculation</t>
  </si>
  <si>
    <t>test_007_business_days_calculation</t>
  </si>
  <si>
    <t>test_008_weekend_exclusion</t>
  </si>
  <si>
    <t>test_009_holiday_exclusion</t>
  </si>
  <si>
    <t>test_010_delivery_on_weekend_adjusted</t>
  </si>
  <si>
    <t>test_011_mixed_calendar_business_days</t>
  </si>
  <si>
    <t>test_012_alert_r14_date_passed</t>
  </si>
  <si>
    <t>test_013_alert_r14_tight_margin_3_days</t>
  </si>
  <si>
    <t>test_014_alert_severity_critical_passed</t>
  </si>
  <si>
    <t>test_015_alert_severity_warning_tight</t>
  </si>
  <si>
    <t>test_016_no_alert_sufficient_margin</t>
  </si>
  <si>
    <t>test_001_exw_buyer_full_responsibility</t>
  </si>
  <si>
    <t>Lead Time Calculator - Incoterms</t>
  </si>
  <si>
    <t>test_002_exw_transit_time_included</t>
  </si>
  <si>
    <t>test_003_exw_customs_included</t>
  </si>
  <si>
    <t>test_004_fob_shared_responsibility</t>
  </si>
  <si>
    <t>test_005_fob_port_handover</t>
  </si>
  <si>
    <t>test_006_fob_insurance_buyer</t>
  </si>
  <si>
    <t>test_007_cif_seller_insurance</t>
  </si>
  <si>
    <t>test_008_cif_port_to_port</t>
  </si>
  <si>
    <t>test_009_cif_customs_buyer</t>
  </si>
  <si>
    <t>test_010_ddp_seller_full_responsibility</t>
  </si>
  <si>
    <t>test_011_ddp_no_customs_buyer</t>
  </si>
  <si>
    <t>test_012_ddp_door_to_door</t>
  </si>
  <si>
    <t>test_013_incoterm_comparison_same_route</t>
  </si>
  <si>
    <t>test_014_incoterm_impact_on_lead_time</t>
  </si>
  <si>
    <t>DOMAIN-STAKEHOLDERS</t>
  </si>
  <si>
    <t>DOMAIN-ANALYSIS</t>
  </si>
  <si>
    <t>APPLICATION-USE-CASES</t>
  </si>
  <si>
    <t>APPLICATION-SERVICES</t>
  </si>
  <si>
    <t>APPLICATION-DTOS</t>
  </si>
  <si>
    <t>ADAPTERS-HTTP</t>
  </si>
  <si>
    <t>ADAPTERS-PERSISTENCE</t>
  </si>
  <si>
    <t>INTEGRATION</t>
  </si>
  <si>
    <t>E2E</t>
  </si>
  <si>
    <t>ID</t>
  </si>
  <si>
    <t>COMPONENT NAME</t>
  </si>
  <si>
    <t>apps/api/tests/modules/procurement/domain/test_lead_time.py</t>
  </si>
  <si>
    <t>apps/api/tests/modules/projects/domain/test_wbs_item.py</t>
  </si>
  <si>
    <t>apps/api/tests/modules/integration/test_wbs_procurement_contract.py</t>
  </si>
  <si>
    <t>apps/api/src/procurement/domain/lead_time_calculator.py</t>
  </si>
  <si>
    <t>apps/api/tests/integration/test_wbs_procurement_contract.py.</t>
  </si>
  <si>
    <t>apps/api/tests/infrastructure/events/test_event_publisher.py</t>
  </si>
  <si>
    <t xml:space="preserve">apps/api/tests/modules/stakeholders/domain/test_raci_matrix.py </t>
  </si>
  <si>
    <t xml:space="preserve">**ACT AS:** Senior Staff Software Architect &amp; TDD Specialist.
**PROJECT:** C2Pro (Construction Command Pro) - Version 2.1.
**STACK:** Python 3.11+, FastAPI, Pytest (Asyncio + Mock), SQLAlchemy (Async), Pydantic v2.
### 1. CONTEXT &amp; KNOWLEDGE BASE
You strictly adhere to the logic and rules defined in the provided project documents:
* `PLAN_ARQUITECTURA_v2.1.md`: Follow the Hexagonal Architecture (Domain, Application, Adapters) and Modular Monolith rules.
* `C2PRO_TEST_SUITES_INDEX_v1.1.md`: Use this to validate the Scope and Priority of the requested Suite ID.
* `c2pro_master_flow_diagram_v2.2.1.md`: Ensure data flow and entity relationships are respected.
### 2. DIRECTORY STRUCTURE RULES (CRITICAL)
You must generate files mirroring the source structure.
* **Source Code:** `apps/api/src/{MODULE}/{LAYER}/...`
* **Test Code:** `apps/api/tests/modules/{MODULE}/{LAYER}/test_{COMPONENT}.py`
    * `domain/`: Pure Unit Tests. NO DB. Use `unittest.mock`.
    * `application/`: Service Tests. Mock all Ports (Repositories, Gateways).
    * `adapters/`: Integration Tests. Use `Testcontainers` if DB is needed.
### 3. TDD GENERATION PROTOCOL
For the requested Suite, you must generate the output in two distinct steps:
**STEP 1: THE RED PHASE (The Test File)**
* Generate the full `test_*.py` file.
* The test MUST fail initially (Red).
* Mock all external dependencies.
* **Docstring Requirement:** The class docstring must start with `"""Refers to Suite ID: [INSERT ID]"""`.
**STEP 2: THE GREEN PHASE (The Implementation)**
* Generate the minimal `*.py` implementation file (Domain Entity, Service, or Adapter).
* Follow the **"Fake It"** pattern: Return hardcoded values if enough to pass the test, or minimal logic.
* Strictly use Pydantic v2 (`model_validate`, `field_validator`) and Python 3.11 typing.
---
### 
</t>
  </si>
  <si>
    <t>llm</t>
  </si>
  <si>
    <t>gemini</t>
  </si>
  <si>
    <t>apps/api/tests/modules/  
  documents/application/services/test_extraction_services.py</t>
  </si>
  <si>
    <t>apps/api/  
  tests/infrastructure/http/test_global_exception_handler.py</t>
  </si>
  <si>
    <t>apps/api/tests/modules/mcp/adapters/.</t>
  </si>
  <si>
    <t>test</t>
  </si>
  <si>
    <t>TS-UC-SEC-MCP-002test_001_request_under_limit_allowed</t>
  </si>
  <si>
    <t>TS-UC-SEC-MCP-002test_002_request_at_limit_59_allowed</t>
  </si>
  <si>
    <t>TS-UC-SEC-MCP-002test_003_request_at_limit_60_allowed</t>
  </si>
  <si>
    <t>TS-UC-SEC-MCP-002test_004_request_over_limit_61_blocked</t>
  </si>
  <si>
    <t>TS-UC-SEC-MCP-002test_005_request_over_limit_100_blocked</t>
  </si>
  <si>
    <t>TS-UC-SEC-MCP-002test_006_window_reset_after_60_seconds</t>
  </si>
  <si>
    <t>TS-UC-SEC-MCP-002test_007_tenant_isolation_separate_counters</t>
  </si>
  <si>
    <t>TS-UC-SEC-MCP-002test_008_tenant_a_full_tenant_b_available</t>
  </si>
  <si>
    <t>TS-UC-SEC-MCP-002test_009_sliding_window_calculation</t>
  </si>
  <si>
    <t>TS-UC-SEC-MCP-002test_010_rate_limit_result_retry_after_header</t>
  </si>
  <si>
    <t>TS-UC-SEC-MCP-002test_011_rate_limit_audit_log_on_block</t>
  </si>
  <si>
    <t>TS-UC-SEC-MCP-002test_012_rate_limit_warning_at_80_percent</t>
  </si>
  <si>
    <t>TS-UC-SEC-MCP-002test_013_concurrent_requests_race_condition</t>
  </si>
  <si>
    <t>TS-UC-SEC-MCP-002test_014_rate_limit_reset_at_midnight</t>
  </si>
  <si>
    <t>TS-UC-SEC-MCP-002test_edge_001_burst_59_requests_simultaneous</t>
  </si>
  <si>
    <t>TS-UC-SEC-MCP-002test_edge_002_exactly_60_second_boundary</t>
  </si>
  <si>
    <t>TS-UC-SEC-MCP-002test_edge_003_clock_skew_handling</t>
  </si>
  <si>
    <t>apps/api/tests/adapters/http/
  test_router_delegation.py</t>
  </si>
  <si>
    <t>apps/api/tests/adapters/http/</t>
  </si>
  <si>
    <t xml:space="preserve">  test_router_delegation.py</t>
  </si>
  <si>
    <t>apps/api/tests/modules/mcp/adapters/</t>
  </si>
  <si>
    <t>apps/api/tests/adapters/persistence/
    test_documents_repository.py</t>
  </si>
  <si>
    <t>apps/api/tests/adapters/persistence/
    test_wbs_repository.py</t>
  </si>
  <si>
    <t>apps/api/tests/adapters/persistence/
    test_base_repository.py</t>
  </si>
  <si>
    <t>apps/api/tests/
  e2e/resilience/test_concurrency.py</t>
  </si>
  <si>
    <t>apps/api/tests/core/services/test_rate_limiter.py</t>
  </si>
  <si>
    <t xml:space="preserve">RateLimitExceededException. 
  - apps/api/tests/modules/coherence/application/services/   
    test_budget_tracker.py </t>
  </si>
  <si>
    <t>apps/api/tests/modules/documents/domain/.</t>
  </si>
  <si>
    <t>apps/api/tests/e2e/flows/
    test_document_upload_to_coherence.py</t>
  </si>
  <si>
    <t xml:space="preserve">apps/api/tests/e2e/flows/test_alert_review_workflow.py </t>
  </si>
  <si>
    <t xml:space="preserve">apps/api/tests/e2e/flows/test_bulk_operations.py.
                                         </t>
  </si>
  <si>
    <t xml:space="preserve"> Assumed endpoints per your “ok to proposal”:
  - POST /v0/procurement/wbs/bulk (bulk create)
  - PUT /v0/procurement/wbs/bulk (bulk update)
  - DELETE /v0/procurement/wbs/bulk (bulk delete)</t>
  </si>
  <si>
    <t>apps/api/tests/e2e/performance/
    test_large_document_processing.py</t>
  </si>
  <si>
    <t>apps/api/tests/modules/coherence/domain/.</t>
  </si>
  <si>
    <t xml:space="preserve"> apps/api/tests/modules/projects/domain/.</t>
  </si>
  <si>
    <t>apps/api/tests/modules/procurement/domain/.</t>
  </si>
  <si>
    <t>SEMANAS 1-4 (S1-S2):</t>
  </si>
  <si>
    <t>├── [Agente 1]  Security Core ────────────────►</t>
  </si>
  <si>
    <t>├── [Agente 10] DTOs ─────►</t>
  </si>
  <si>
    <t>└── [Agente 8]  Event Bus básico ───►</t>
  </si>
  <si>
    <t>SEMANAS 5-8 (S3-S4):</t>
  </si>
  <si>
    <t>└── [Agente 2]  Documents ────────────────────►</t>
  </si>
  <si>
    <t>SEMANAS 9-12 (S5-S6):</t>
  </si>
  <si>
    <t>└── [Agente 6]  Coherence (CRÍTICO) ──────────►</t>
  </si>
  <si>
    <t>SEMANAS 13-16 (S7-S8):</t>
  </si>
  <si>
    <t>├── [Agente 3]  Projects ────────►</t>
  </si>
  <si>
    <t>└── [Agente 4]  Procurement ─────► (después de Projects)</t>
  </si>
  <si>
    <t>SEMANAS 17-20 (S9-S10):</t>
  </si>
  <si>
    <t>├── [Agente 7]  Stakeholders ────►</t>
  </si>
  <si>
    <t>└── [Agente 5]  Analysis ────────►</t>
  </si>
  <si>
    <t>SEMANAS 21-24 (S11-S12):</t>
  </si>
  <si>
    <t>├── [Agente 9]  Observability ───►</t>
  </si>
  <si>
    <t>├── [Agente 10] HTTP Adapters ───►</t>
  </si>
  <si>
    <t>├── [Agente 8]  Celery/DLQ ──────►</t>
  </si>
  <si>
    <t>└── [Agente 11] Integration ─────────────────►</t>
  </si>
  <si>
    <t>**SYSTEM ROLE:** AGENT 1 - SECURITY CORE &amp; GATEKEEPER
**1. INITIALIZATION &amp; CONTEXT**
You are the **Security Lead** for C2Pro v2.1.
* **CRITICAL:** Read and internalize `agents.md` immediately. It contains your architectural constraints, directory structure, and TDD protocols.
* **LATENCY:** Do not explain TDD concepts. Output code directly.
**2. YOUR ASSIGNED SCOPE**
You own the "Shield" of the application.
* **Components:**
    * MCP Gateway (Allowlist, Rate Limiting, Audit).
    * Anonymizer Service (PII Detection, Strategies).
    * Tenant Isolation (ContextVars, RLS enforcement).
    * JWT Validation (Auth Middleware).
    * Anti-Gaming Detection (Logic &amp; Rules).
* **Test Suites (Target 100%):**
    * `TS-UC-SEC-MCP-001` to `004`
    * `TS-UC-SEC-ANO-001` to `003`
    * `TS-UC-SEC-TNT-001`
    * `TS-UC-SEC-JWT-001`
    * `TS-UC-SEC-AUD-001`
    * `TS-UC-SEC-GAM-001`
    * `TS-INT-*` (Security specific integrations only)
    * `TS-E2E-SEC-*` (Security specific E2E)
**3. EXECUTION PROTOCOL**
When I provide a Suite ID (e.g., `TS-UC-SEC-MCP-001`):
1.  **Lookup:** Check `C2PRO_TEST_SUITES_INDEX_v1.1.md` for scope.
2.  **RED:** Generate `tests/core/security/test_*.py`. Assert failure.
3.  **GREEN:** Generate `src/core/security/*.py`. Use "Fake It" pattern.
4.  **UPDATE:** Remind me to update `C2PRO_TDD_BACKLOG_v1.0.md`.
**AWAITING INPUT:** Please provide a TS-UC-SEC ID.</t>
  </si>
  <si>
    <t> Orden | Agente | Tests | Sprint | Bloquea | Crítico |</t>
  </si>
  <si>
    <t>|-------|--------|-------|--------|---------|---------|</t>
  </si>
  <si>
    <t>| 1 | Agente 10 (DTOs) | 40 | S1 | Todos | ✅ |</t>
  </si>
  <si>
    <t>| 2 | Agente 1 (Security) | 156 | S1-S2 | Todos | ✅ |</t>
  </si>
  <si>
    <t>| 3 | Agente 8 (Event Bus básico) | 34 | S2 | Async flows | ✅ |</t>
  </si>
  <si>
    <t>| 4 | Agente 2 (Documents) | 162 | S3-S4 | Analysis, Coherence | ✅ |</t>
  </si>
  <si>
    <t>| 5 | Agente 6 (Coherence) | 206 | S5-S6 | Dashboard, E2E | 🔴 CRÍTICO |</t>
  </si>
  <si>
    <t>| 6 | Agente 3 (Projects) | 116 | S7 | Procurement | ⚠️ |</t>
  </si>
  <si>
    <t>| 7 | Agente 4 (Procurement) | 116 | S8 | Coherence rules | ⚠️ |</t>
  </si>
  <si>
    <t>| 8 | Agente 7 (Stakeholders) | 112 | S9 | RACI | ⚠️ |</t>
  </si>
  <si>
    <t>| 9 | Agente 5 (Analysis) | 78 | S10 | Graph RAG | ⚠️ |</t>
  </si>
  <si>
    <t>| 10 | Agente 9 (Observability) | 68 | S11 | Monitoring | ⚠️ |</t>
  </si>
  <si>
    <t>| 11 | Agente 11 (Integration) | 184 | S11-S12 | E2E | ✅ |</t>
  </si>
  <si>
    <t>| 12 | Agente 10 (HTTP) | 62 | S12 | API | ⚠️ |</t>
  </si>
  <si>
    <t>| 13 | Agente 8 (Celery/DLQ) | 44 | S12 | Workers | ⚠️ |</t>
  </si>
  <si>
    <t>| 14 | Agente 12 (E2E) | 78 | S13-S14 | Release | ✅ |</t>
  </si>
  <si>
    <t>DEV</t>
  </si>
  <si>
    <t>claude</t>
  </si>
  <si>
    <t>Claude</t>
  </si>
  <si>
    <t>CODEX</t>
  </si>
  <si>
    <t> AGENTE 1: SECURITY CORE                              ║</t>
  </si>
  <si>
    <t>║                          Target Coverage: 100%                                ║</t>
  </si>
  <si>
    <t>╠═══════════════════════════════════════════════════════════════════════════════╣</t>
  </si>
  <si>
    <t>║                                                                               ║</t>
  </si>
  <si>
    <t>║  COMPONENTES ASIGNADOS:                                                       ║</t>
  </si>
  <si>
    <t>║  ├── MCP Gateway (Allowlist, Rate Limit, Query Limits, Audit)                ║</t>
  </si>
  <si>
    <t>║  ├── Anonymizer Service (PII Detection, Strategies, Config)                  ║</t>
  </si>
  <si>
    <t>║  ├── Tenant Isolation                                                        ║</t>
  </si>
  <si>
    <t>║  ├── JWT Validation                                                          ║</t>
  </si>
  <si>
    <t>║  └── Anti-Gaming Detection (compartido con Agente 6)                         ║</t>
  </si>
  <si>
    <t>║  TEST SUITES ASIGNADOS:                                                       ║</t>
  </si>
  <si>
    <t>║  ├── TS-UC-SEC-MCP-001: MCP Allowlist ............... 18 tests               ║</t>
  </si>
  <si>
    <t>║  ├── TS-UC-SEC-MCP-002: Rate Limiting ............... 14 tests               ║</t>
  </si>
  <si>
    <t>║  ├── TS-UC-SEC-MCP-003: Query Limits ................ 12 tests               ║</t>
  </si>
  <si>
    <t>║  ├── TS-UC-SEC-MCP-004: MCP Audit ................... 10 tests               ║</t>
  </si>
  <si>
    <t>║  ├── TS-UC-SEC-ANO-001: PII Detection ............... 24 tests               ║</t>
  </si>
  <si>
    <t>║  ├── TS-UC-SEC-ANO-002: Anonymizer Strategies ....... 16 tests               ║</t>
  </si>
  <si>
    <t>║  ├── TS-UC-SEC-ANO-003: Tenant Config ............... 8 tests                ║</t>
  </si>
  <si>
    <t>║  ├── TS-UC-SEC-TNT-001: Tenant Isolation ............ 14 tests               ║</t>
  </si>
  <si>
    <t>║  ├── TS-UC-SEC-JWT-001: JWT Validation .............. 12 tests               ║</t>
  </si>
  <si>
    <t>║  ├── TS-UC-SEC-AUD-001: Audit Trail Core ............ 16 tests               ║</t>
  </si>
  <si>
    <t>║  ├── TS-UC-SEC-GAM-001: Anti-Gaming Detection ....... 12 tests               ║</t>
  </si>
  <si>
    <t>║  ├── TS-INT-* Integration tests ..................... 30 tests               ║</t>
  </si>
  <si>
    <t>║  └── TS-E2E-SEC-* E2E tests ......................... 26 tests               ║</t>
  </si>
  <si>
    <t>║      ─────────────────────────────────────────────────────────               ║</t>
  </si>
  <si>
    <t>║      TOTAL AGENTE 1: 188 tests                                               ║</t>
  </si>
  <si>
    <t>║  SPRINTS ASIGNADOS: S1-S2 (Semanas 1-4)                                      ║</t>
  </si>
  <si>
    <t>║  DEPENDENCIAS: Ninguna (puede empezar inmediatamente)                        ║</t>
  </si>
  <si>
    <t>║  DESBLOQUEA: Todos los demás módulos                                         ║</t>
  </si>
  <si>
    <t>╚═══════════════════════════════════════════════════════════════════════════════╝</t>
  </si>
  <si>
    <t>```</t>
  </si>
  <si>
    <t>### 9.2 AGENTE 2: Documents Domain (162 tests)</t>
  </si>
  <si>
    <t>╔═══════════════════════════════════════════════════════════════════════════════╗</t>
  </si>
  <si>
    <t>║                          AGENTE 2: DOCUMENTS DOMAIN                           ║</t>
  </si>
  <si>
    <t>║                          Target Coverage: 95%                                 ║</t>
  </si>
  <si>
    <t>║  ├── Clause Entity (creación, validación, FK integrity)                      ║</t>
  </si>
  <si>
    <t>║  ├── Clause Types &amp; Classification                                           ║</t>
  </si>
  <si>
    <t>║  ├── SubClause Hierarchy                                                     ║</t>
  </si>
  <si>
    <t>║  ├── Entity Extraction (Dates, Money, Durations, Stakeholders)               ║</t>
  </si>
  <si>
    <t>║  ├── Document Entity                                                         ║</t>
  </si>
  <si>
    <t>║  └── Confidence Scoring                                                      ║</t>
  </si>
  <si>
    <t>║  ├── TS-UD-DOC-CLS-001: Clause Entity ............... 22 tests               ║</t>
  </si>
  <si>
    <t>║  ├── TS-UD-DOC-CLS-002: Clause Types ................ 14 tests               ║</t>
  </si>
  <si>
    <t>║  ├── TS-UD-DOC-CLS-003: SubClause Hierarchy ......... 10 tests               ║</t>
  </si>
  <si>
    <t>║  ├── TS-UD-DOC-ENT-001: Entity Dates ................ 16 tests               ║</t>
  </si>
  <si>
    <t>║  ├── TS-UD-DOC-ENT-002: Entity Money ................ 14 tests               ║</t>
  </si>
  <si>
    <t>║  ├── TS-UD-DOC-ENT-003: Entity Durations ............ 12 tests               ║</t>
  </si>
  <si>
    <t>║  ├── TS-UD-DOC-ENT-004: Entity Stakeholders ......... 10 tests               ║</t>
  </si>
  <si>
    <t>║  ├── TS-UD-DOC-DOC-001: Document Entity ............. 14 tests               ║</t>
  </si>
  <si>
    <t>║  ├── TS-UD-DOC-CNF-001: Confidence Scoring .......... 8 tests                ║</t>
  </si>
  <si>
    <t>║  ├── TS-UA-DOC-UC-*: Use Cases ...................... 26 tests               ║</t>
  </si>
  <si>
    <t>║  ├── TS-UA-SVC-EXT-*: Services ...................... 26 tests               ║</t>
  </si>
  <si>
    <t>║  ├── TS-INT-DB-DOC-*: Integration ................... 26 tests               ║</t>
  </si>
  <si>
    <t>║  └── TS-E2E-FLW-DOC-*: E2E .......................... 14 tests               ║</t>
  </si>
  <si>
    <t>║      TOTAL AGENTE 2: 162 tests                                               ║</t>
  </si>
  <si>
    <t>║  SPRINTS ASIGNADOS: S3-S4 (Semanas 5-8)                                      ║</t>
  </si>
  <si>
    <t>║  DEPENDENCIAS: Agente 1 (Anonymizer para PII en documentos)                  ║</t>
  </si>
  <si>
    <t>║  DESBLOQUEA: Agentes 5, 6, 7 (Analysis, Coherence, Stakeholders)             ║</t>
  </si>
  <si>
    <t>### 9.3 AGENTE 3: Projects &amp; WBS (116 tests)</t>
  </si>
  <si>
    <t>║                          AGENTE 3: PROJECTS &amp; WBS                             ║</t>
  </si>
  <si>
    <t>║                          Target Coverage: 93%                                 ║</t>
  </si>
  <si>
    <t>║  ├── WBS Item Entity                                                         ║</t>
  </si>
  <si>
    <t>║  ├── WBS Hierarchy &amp; Codes                                                   ║</t>
  </si>
  <si>
    <t>║  ├── WBS Validation Rules                                                    ║</t>
  </si>
  <si>
    <t>║  ├── WBS CRUD Operations                                                     ║</t>
  </si>
  <si>
    <t>║  ├── Project Entity                                                          ║</t>
  </si>
  <si>
    <t>║  └── IWBSQueryPort (interface para otros módulos)                            ║</t>
  </si>
  <si>
    <t>║  ├── TS-UD-PRJ-WBS-001: WBS Item Entity ............. 18 tests               ║</t>
  </si>
  <si>
    <t>║  ├── TS-UD-PRJ-WBS-002: WBS Hierarchy ............... 14 tests               ║</t>
  </si>
  <si>
    <t>║  ├── TS-UD-PRJ-WBS-003: WBS Validation .............. 12 tests               ║</t>
  </si>
  <si>
    <t>║  ├── TS-UD-PRJ-WBS-004: WBS CRUD .................... 10 tests               ║</t>
  </si>
  <si>
    <t>║  ├── TS-UD-PRJ-PRJ-001: Project Entity .............. 12 tests               ║</t>
  </si>
  <si>
    <t>║  ├── TS-UD-PRJ-DTO-001: WBSItemDTO &amp; Port ........... 10 tests               ║</t>
  </si>
  <si>
    <t>║  ├── TS-UA-PRJ-UC-*: Use Cases ...................... 26 tests               ║</t>
  </si>
  <si>
    <t>║  ├── TS-INT-DB-WBS-*: Integration ................... 18 tests               ║</t>
  </si>
  <si>
    <t>║  └── TS-E2E-*: E2E ................................... 10 tests               ║</t>
  </si>
  <si>
    <t>║      TOTAL AGENTE 3: 116 tests (ajustado de 130 anterior)                    ║</t>
  </si>
  <si>
    <t>║  SPRINTS ASIGNADOS: S7 (Semanas 13-14)                                       ║</t>
  </si>
  <si>
    <t>║  DEPENDENCIAS: Agente 2 (Clauses para WBS)                                   ║</t>
  </si>
  <si>
    <t>║  DESBLOQUEA: Agente 4 (Procurement), Agente 6 (Reglas SCOPE)                 ║</t>
  </si>
  <si>
    <t>### 9.4 AGENTE 4: Procurement Logic (116 tests)</t>
  </si>
  <si>
    <t>║                          AGENTE 4: PROCUREMENT LOGIC                          ║</t>
  </si>
  <si>
    <t>║  ├── BOM Item Entity                                                         ║</t>
  </si>
  <si>
    <t>║  ├── BOM Validation Rules                                                    ║</t>
  </si>
  <si>
    <t>║  ├── Lead Time Calculator (Basic, Incoterms, Customs, Alerts)                ║</t>
  </si>
  <si>
    <t>║  └── Procurement Plan Generation                                             ║</t>
  </si>
  <si>
    <t>║  ├── TS-UD-PROC-BOM-001: BOM Item Entity ............ 14 tests               ║</t>
  </si>
  <si>
    <t>║  ├── TS-UD-PROC-BOM-002: BOM Validation ............. 10 tests               ║</t>
  </si>
  <si>
    <t>║  ├── TS-UD-PROC-LTM-001: Lead Time Basic ............ 16 tests               ║</t>
  </si>
  <si>
    <t>║  ├── TS-UD-PROC-LTM-002: Lead Time Incoterms ........ 14 tests               ║</t>
  </si>
  <si>
    <t>║  ├── TS-UD-PROC-LTM-003: Lead Time Customs .......... 10 tests               ║</t>
  </si>
  <si>
    <t>║  ├── TS-UD-PROC-LTM-004: Lead Time Alerts ........... 8 tests                ║</t>
  </si>
  <si>
    <t>║  ├── TS-UD-PROC-PLN-001: Procurement Plan ........... 10 tests               ║</t>
  </si>
  <si>
    <t>║  ├── TS-UA-PROC-UC-*: Use Cases ..................... 22 tests               ║</t>
  </si>
  <si>
    <t>║  ├── TS-INT-DB-BOM-*: Integration ................... 16 tests               ║</t>
  </si>
  <si>
    <t>║  └── TS-E2E-*: E2E ................................... 8 tests                ║</t>
  </si>
  <si>
    <t>║      TOTAL AGENTE 4: 116 tests (ajustado)                                    ║</t>
  </si>
  <si>
    <t>║  SPRINTS ASIGNADOS: S8 (Semanas 15-16)                                       ║</t>
  </si>
  <si>
    <t>║  DEPENDENCIAS: Agente 3 (WBS para BOM)                                       ║</t>
  </si>
  <si>
    <t>║  DESBLOQUEA: Agente 6 (Reglas BUDGET, R14)                                   ║</t>
  </si>
  <si>
    <t>### 9.5 AGENTE 5: Analysis &amp; Graph (78 tests)</t>
  </si>
  <si>
    <t>║                          AGENTE 5: ANALYSIS &amp; GRAPH                           ║</t>
  </si>
  <si>
    <t>║                          Target Coverage: 89%                                 ║</t>
  </si>
  <si>
    <t>║  ├── Alert Entity                                                            ║</t>
  </si>
  <si>
    <t>║  ├── Graph Node Entity                                                       ║</t>
  </si>
  <si>
    <t>║  ├── Graph Relationship Entity                                               ║</t>
  </si>
  <si>
    <t>║  ├── Semantic Search                                                         ║</t>
  </si>
  <si>
    <t>║  ├── Hybrid Search                                                           ║</t>
  </si>
  <si>
    <t>║  └── Neo4j Integration                                                       ║</t>
  </si>
  <si>
    <t>║  ├── TS-UD-ANA-ALR-001: Alert Entity ................ 12 tests               ║</t>
  </si>
  <si>
    <t>║  ├── TS-UD-ANA-GRP-001: Graph Node .................. 10 tests               ║</t>
  </si>
  <si>
    <t>║  ├── TS-UD-ANA-GRP-002: Graph Relationship .......... 10 tests               ║</t>
  </si>
  <si>
    <t>║  ├── TS-UD-ANA-SRC-001: Semantic Search ............. 8 tests                ║</t>
  </si>
  <si>
    <t>║  ├── TS-UD-ANA-HYB-001: Hybrid Search ............... 8 tests                ║</t>
  </si>
  <si>
    <t>║  ├── TS-UA-ANA-UC-*: Use Cases ...................... 22 tests               ║</t>
  </si>
  <si>
    <t>║  ├── TS-INT-GRP-NEO-001: Neo4j Integration .......... 14 tests               ║</t>
  </si>
  <si>
    <t>║  └── TS-E2E-*: E2E ................................... 6 tests                ║</t>
  </si>
  <si>
    <t>║      TOTAL AGENTE 5: 78 tests (ajustado)                                     ║</t>
  </si>
  <si>
    <t>║  SPRINTS ASIGNADOS: S10 (Semanas 19-20)                                      ║</t>
  </si>
  <si>
    <t>║  DEPENDENCIAS: Agente 2 (Clauses para Graph)                                 ║</t>
  </si>
  <si>
    <t>║  DESBLOQUEA: Agente 6 (Coherence necesita Alerts)                            ║</t>
  </si>
  <si>
    <t>### 9.6 AGENTE 6: Coherence Engine - CRÍTICO (206 tests)</t>
  </si>
  <si>
    <t>║                     AGENTE 6: COHERENCE ENGINE (CRÍTICO)                      ║</t>
  </si>
  <si>
    <t>║                          Target Coverage: 99%                                 ║</t>
  </si>
  <si>
    <t>║  ├── Category Enum &amp; Default Weights                                         ║</t>
  </si>
  <si>
    <t>║  ├── Rules Engine (17 reglas en 6 categorías)                                ║</t>
  </si>
  <si>
    <t>║  │   ├── SCOPE: R11, R12, R13                                                ║</t>
  </si>
  <si>
    <t>║  │   ├── BUDGET: R6, R15, R16                                                ║</t>
  </si>
  <si>
    <t>║  │   ├── TIME: R1, R2, R5, R14                                               ║</t>
  </si>
  <si>
    <t>║  │   ├── TECHNICAL: R3, R4, R7                                               ║</t>
  </si>
  <si>
    <t>║  │   ├── LEGAL: R8, R20                                                      ║</t>
  </si>
  <si>
    <t>║  │   └── QUALITY: R17, R18                                                   ║</t>
  </si>
  <si>
    <t>║  ├── Score Calculator (SubScores, Global, Custom Weights)                    ║</t>
  </si>
  <si>
    <t>║  ├── Anti-Gaming Policy                                                      ║</t>
  </si>
  <si>
    <t>║  └── Alert Entity &amp; Category Mapping                                         ║</t>
  </si>
  <si>
    <t>║  ├── TS-UD-COH-CAT-001: Categories .................. 12 tests               ║</t>
  </si>
  <si>
    <t>║  ├── TS-UD-COH-RUL-001: Rules SCOPE ................. 18 tests               ║</t>
  </si>
  <si>
    <t>║  ├── TS-UD-COH-RUL-002: Rules BUDGET ................ 16 tests               ║</t>
  </si>
  <si>
    <t>║  ├── TS-UD-COH-RUL-003: Rules TIME .................. 16 tests               ║</t>
  </si>
  <si>
    <t>║  ├── TS-UD-COH-RUL-004: Rules TECHNICAL ............. 12 tests               ║</t>
  </si>
  <si>
    <t>║  ├── TS-UD-COH-RUL-005: Rules LEGAL ................. 10 tests               ║</t>
  </si>
  <si>
    <t>║  ├── TS-UD-COH-RUL-006: Rules QUALITY ............... 8 tests                ║</t>
  </si>
  <si>
    <t>║  ├── TS-UD-COH-SCR-001: SubScores ................... 14 tests               ║</t>
  </si>
  <si>
    <t>║  ├── TS-UD-COH-SCR-002: Global Score ................ 12 tests               ║</t>
  </si>
  <si>
    <t>║  ├── TS-UD-COH-SCR-003: Custom Weights .............. 10 tests               ║</t>
  </si>
  <si>
    <t>║  ├── TS-UD-COH-GAM-001: Anti-Gaming ................. 16 tests               ║</t>
  </si>
  <si>
    <t>║  ├── TS-UD-COH-ALR-001: Alert Mapping ............... 12 tests               ║</t>
  </si>
  <si>
    <t>║  ├── TS-UA-COH-UC-*: Use Cases ...................... 26 tests               ║</t>
  </si>
  <si>
    <t>║  ├── TS-UA-SVC-COH-*: Services ...................... 14 tests               ║</t>
  </si>
  <si>
    <t>║  ├── TS-INT-DB-COH-*: Integration ................... 12 tests               ║</t>
  </si>
  <si>
    <t>║  └── TS-E2E-*: E2E ................................... 18 tests               ║</t>
  </si>
  <si>
    <t>║      TOTAL AGENTE 6: 206 tests                                               ║</t>
  </si>
  <si>
    <t>║  SPRINTS ASIGNADOS: S5-S6 (Semanas 9-12) - PRIORIDAD MÁXIMA                  ║</t>
  </si>
  <si>
    <t>║  DEPENDENCIAS: Agentes 2, 3, 4, 5 (para datos de reglas)                     ║</t>
  </si>
  <si>
    <t>║  DESBLOQUEA: E2E completo, Dashboard, Release                                ║</t>
  </si>
  <si>
    <t>### 9.7 AGENTE 7: Stakeholders (112 tests)</t>
  </si>
  <si>
    <t>║                          AGENTE 7: STAKEHOLDERS                               ║</t>
  </si>
  <si>
    <t>║                          Target Coverage: 91%                                 ║</t>
  </si>
  <si>
    <t>║  ├── Stakeholder Entity                                                      ║</t>
  </si>
  <si>
    <t>║  ├── Power/Interest Classification                                           ║</t>
  </si>
  <si>
    <t>║  ├── Quadrant Assignment                                                     ║</t>
  </si>
  <si>
    <t>║  ├── RACI Entry Validation                                                   ║</t>
  </si>
  <si>
    <t>║  ├── RACI Matrix Generation                                                  ║</t>
  </si>
  <si>
    <t>║  ├── RACI from Clauses                                                       ║</t>
  </si>
  <si>
    <t>║  └── Stakeholder Map Data                                                    ║</t>
  </si>
  <si>
    <t>║  ├── TS-UD-STK-ENT-001: Stakeholder Entity .......... 12 tests               ║</t>
  </si>
  <si>
    <t>║  ├── TS-UD-STK-CLS-001: Power/Interest .............. 14 tests               ║</t>
  </si>
  <si>
    <t>║  ├── TS-UD-STK-CLS-002: Quadrant Assignment ......... 10 tests               ║</t>
  </si>
  <si>
    <t>║  ├── TS-UD-STK-RAC-001: RACI Entry .................. 10 tests               ║</t>
  </si>
  <si>
    <t>║  ├── TS-UD-STK-RAC-002: RACI Matrix ................. 14 tests               ║</t>
  </si>
  <si>
    <t>║  ├── TS-UD-STK-RAC-003: RACI from Clauses ........... 10 tests               ║</t>
  </si>
  <si>
    <t>║  ├── TS-UD-STK-MAP-001: Stakeholder Map ............. 8 tests                ║</t>
  </si>
  <si>
    <t>║  ├── TS-UA-STK-UC-*: Use Cases ...................... 20 tests               ║</t>
  </si>
  <si>
    <t>║  ├── TS-INT-*: Integration .......................... 14 tests               ║</t>
  </si>
  <si>
    <t>║      TOTAL AGENTE 7: 112 tests                                               ║</t>
  </si>
  <si>
    <t>║  SPRINTS ASIGNADOS: S9 (Semanas 17-18)                                       ║</t>
  </si>
  <si>
    <t>║  DEPENDENCIAS: Agente 2 (Clauses para extraction)                            ║</t>
  </si>
  <si>
    <t>║  DESBLOQUEA: Agente 6 (Regla R20)                                            ║</t>
  </si>
  <si>
    <t>### 9.8 AGENTE 8: Async Architecture (78 tests)</t>
  </si>
  <si>
    <t>║                          AGENTE 8: ASYNC ARCHITECTURE                         ║</t>
  </si>
  <si>
    <t>║                          Target Coverage: 90%                                 ║</t>
  </si>
  <si>
    <t>║  ├── Event Bus (Redis Pub/Sub)                                               ║</t>
  </si>
  <si>
    <t>║  ├── Celery Job Queue                                                        ║</t>
  </si>
  <si>
    <t>║  ├── Dead Letter Queue                                                       ║</t>
  </si>
  <si>
    <t>║  └── Worker Pool Management                                                  ║</t>
  </si>
  <si>
    <t>║  ├── TS-INT-EVT-BUS-001: Event Bus .................. 14 tests               ║</t>
  </si>
  <si>
    <t>║  ├── TS-INT-EVT-CEL-001: Celery Jobs ................ 12 tests               ║</t>
  </si>
  <si>
    <t>║  ├── TS-INT-EVT-DLQ-001: Dead Letter Queue .......... 8 tests                ║</t>
  </si>
  <si>
    <t>║  ├── Event-driven workflow tests .................... 20 tests               ║</t>
  </si>
  <si>
    <t>║  ├── Worker scaling tests ........................... 14 tests               ║</t>
  </si>
  <si>
    <t>║      TOTAL AGENTE 8: 78 tests                                                ║</t>
  </si>
  <si>
    <t>║  SPRINTS ASIGNADOS: S11-S12 (Semanas 21-24)                                  ║</t>
  </si>
  <si>
    <t>║  DEPENDENCIAS: Agente 1 (Redis adapters)                                     ║</t>
  </si>
  <si>
    <t>║  DESBLOQUEA: Integration flows, E2E                                          ║</t>
  </si>
  <si>
    <t>### 9.9 AGENTE 9: Observability (68 tests)</t>
  </si>
  <si>
    <t>║                          AGENTE 9: OBSERVABILITY                              ║</t>
  </si>
  <si>
    <t>║  ├── Logging (Structlog JSON)                                                ║</t>
  </si>
  <si>
    <t>║  ├── Tracing (OpenTelemetry)                                                 ║</t>
  </si>
  <si>
    <t>║  ├── Budget Circuit Breaker                                                  ║</t>
  </si>
  <si>
    <t>║  └── AI Usage Dashboard                                                      ║</t>
  </si>
  <si>
    <t>║  ├── Logging tests .................................. 16 tests               ║</t>
  </si>
  <si>
    <t>║  ├── Tracing tests .................................. 16 tests               ║</t>
  </si>
  <si>
    <t>║  ├── Budget Circuit Breaker ......................... 22 tests               ║</t>
  </si>
  <si>
    <t>║  ├── AI Usage Dashboard ............................. 14 tests               ║</t>
  </si>
  <si>
    <t>║      TOTAL AGENTE 9: 68 tests                                                ║</t>
  </si>
  <si>
    <t>║  SPRINTS ASIGNADOS: S11-S12 (paralelo con Agente 8)                          ║</t>
  </si>
  <si>
    <t>║  DEPENDENCIAS: Agente 1 (LLM integration para cost tracking)                 ║</t>
  </si>
  <si>
    <t>║  DESBLOQUEA: Monitoring, Alerting                                            ║</t>
  </si>
  <si>
    <t>### 9.10 AGENTE 10: API Contracts (62 tests)</t>
  </si>
  <si>
    <t>║                          AGENTE 10: API CONTRACTS                             ║</t>
  </si>
  <si>
    <t>║                          Target Coverage: 96%                                 ║</t>
  </si>
  <si>
    <t>║  ├── DTOs Validation (Pydantic)                                              ║</t>
  </si>
  <si>
    <t>║  ├── Serialization/Deserialization                                           ║</t>
  </si>
  <si>
    <t>║  ├── HTTP Routers                                                            ║</t>
  </si>
  <si>
    <t>║  ├── Middleware (Auth, Tenant, CORS)                                         ║</t>
  </si>
  <si>
    <t>║  └── Error Handlers                                                          ║</t>
  </si>
  <si>
    <t>║  ├── TS-UA-DTO-ALL-001: DTOs Validation ............. 24 tests               ║</t>
  </si>
  <si>
    <t>║  ├── TS-UA-DTO-SER-001: Serialization ............... 16 tests               ║</t>
  </si>
  <si>
    <t>║  ├── TS-UAD-HTTP-RTR-0: Routers ................... 32 tests               ║</t>
  </si>
  <si>
    <t>║  ├── TS-UAD-HTTP-MDW--001: Middleware ................ 18 tests               ║</t>
  </si>
  <si>
    <t>║  └── TS-UAD-HTTP-ERR-001: Error Handlers ............ 12 tests               ║</t>
  </si>
  <si>
    <t>║      TOTAL AGENTE 10: 102 tests (ajustado)                                   ║</t>
  </si>
  <si>
    <t>║  SPRINTS ASIGNADOS: S1-S2 (DTOs), S11-S12 (HTTP)                             ║</t>
  </si>
  <si>
    <t>║  DEPENDENCIAS: Ninguna para DTOs                                             ║</t>
  </si>
  <si>
    <t>### 9.11 AGENTE 11: Integration (184 tests)</t>
  </si>
  <si>
    <t>║                          AGENTE 11: INTEGRATION                               ║</t>
  </si>
  <si>
    <t>╠═══════════01════════════════════════════════════════════════════════════════════╣</t>
  </si>
  <si>
    <t>║  ├── WBS → Procurement Integration                                           ║</t>
  </si>
  <si>
    <t>║  ├── Documents → Analysis Integration                                        ║</t>
  </si>
  <si>
    <t>║  ├── Analysis → Coherence Integration                                        ║</t>
  </si>
  <si>
    <t>║  ├── Stakeholders → RACI Integration                                         ║</t>
  </si>
  <si>
    <t>║  ├── LLM Client Integration (Primary + Fallback)                             ║</t>
  </si>
  <si>
    <t>║  └── All Database Integration                                                ║</t>
  </si>
  <si>
    <t>║  ├── TS-INT-MOD-WBS-001: WBS → Procurement .......... 12 tests               ║</t>
  </si>
  <si>
    <t>║  ├── TS-INT-MOD-DOC-001: Documents → Analysis ....... 10 tests               ║</t>
  </si>
  <si>
    <t>║  ├── TS-INT-MOD-ANA-001: Analysis → Coherence ....... 12 tests               ║</t>
  </si>
  <si>
    <t>║  ├── TS-INT-MOD-STK-001: Stakeholders → RACI ........ 8 tests                ║</t>
  </si>
  <si>
    <t>║  ├── TS-INT-EXT-LLM-*: LLM Integration .............. 24 tests               ║</t>
  </si>
  <si>
    <t>║  ├── TS-INT-DB-*: All DB Integration ................ 70 tests               ║</t>
  </si>
  <si>
    <t>║  ├── TS-INT-GRP-NEO-001: Neo4j ...................... 14 tests               ║</t>
  </si>
  <si>
    <t>║  └── Remaining integration .......................... 34 tests               ║</t>
  </si>
  <si>
    <t>║      TOTAL AGENTE 11: 184 tests                                              ║</t>
  </si>
  <si>
    <t>║  DEPENDENCIAS: Todos los módulos de dominio                                  ║</t>
  </si>
  <si>
    <t>║  DESBLOQUEA: E2E                                                             ║</t>
  </si>
  <si>
    <t>### 9.12 AGENTE 12: QA/E2E (78 tests)</t>
  </si>
  <si>
    <t>║                          AGENTE 12: QA/E2E                                    ║</t>
  </si>
  <si>
    <t>║                          Target Coverage: 83%                                 ║</t>
  </si>
  <si>
    <t>║  ├── Document Upload to Coherence E2E                                        ║</t>
  </si>
  <si>
    <t>║  ├── Alert Review Workflow E2E                                               ║</t>
  </si>
  <si>
    <t>║  ├── Bulk Operations E2E                                                     ║</t>
  </si>
  <si>
    <t>║  ├── Multi-tenant Isolation E2E                                              ║</t>
  </si>
  <si>
    <t>║  ├── MCP Gateway E2E                                                         ║</t>
  </si>
  <si>
    <t>║  ├── Error Scenarios (Timeout, Concurrent, Recovery)                         ║</t>
  </si>
  <si>
    <t>║  └── Performance Tests                                                       ║</t>
  </si>
  <si>
    <t>║  ├── TS-E2E-FLW-DOC-001: Document Flow .............. 12 tests               ║</t>
  </si>
  <si>
    <t>║  ├── TS-E2E-FLW-ALR-001: Alert Flow ................. 10 tests               ║</t>
  </si>
  <si>
    <t>║  ├── TS-E2E-FLW-BLK-001: Bulk Operations ............ 8 tests                ║</t>
  </si>
  <si>
    <t>║  ├── TS-E2E-SEC-TNT-001: Tenant Isolation ........... 10 tests               ║</t>
  </si>
  <si>
    <t>║  ├── TS-E2E-SEC-MCP-001: MCP Gateway ................ 8 tests                ║</t>
  </si>
  <si>
    <t>║  ├── TS-E2E-ERR-TIM-001: Timeouts ................... 8 tests                ║</t>
  </si>
  <si>
    <t>║  ├── TS-E2E-ERR-CON-001: Concurrent ................. 8 tests                ║</t>
  </si>
  <si>
    <t>║  ├── TS-E2E-ERR-REC-001: Recovery ................... 8 tests                ║</t>
  </si>
  <si>
    <t>║  └── TS-E2E-PER-LRG-001: Performance ................ 6 tests                ║</t>
  </si>
  <si>
    <t>║      TOTAL AGENTE 12: 78 tests                                               ║</t>
  </si>
  <si>
    <t>║  SPRINTS ASIGNADOS: S13-S14 (Semanas 25-28)                                  ║</t>
  </si>
  <si>
    <t>║  DEPENDENCIAS: Todos los módulos + Integration                               ║</t>
  </si>
  <si>
    <t>║  DESBLOQUEA: Release                                                         ║</t>
  </si>
  <si>
    <t>---</t>
  </si>
  <si>
    <t>## 10. Dependencias y Orden de Implementación</t>
  </si>
  <si>
    <t>### 10.1 Grafo de Dependencias Completo</t>
  </si>
  <si>
    <t>                              ┌─────────────────┐</t>
  </si>
  <si>
    <t>                              │   NIVEL 0       │</t>
  </si>
  <si>
    <t>                              │  (Sin deps)     │</t>
  </si>
  <si>
    <t>                              └────────┬────────┘</t>
  </si>
  <si>
    <t>                                       │</t>
  </si>
  <si>
    <t>              ┌────────────────────────┼────────────────────────┐</t>
  </si>
  <si>
    <t>              │                        │                        │</t>
  </si>
  <si>
    <t>              ▼                        ▼                        ▼</t>
  </si>
  <si>
    <t>     ┌─────────────────┐     ┌─────────────────┐     ┌─────────────────┐</t>
  </si>
  <si>
    <t>     │   AGENTE 1      │     │   AGENTE 10     │     │   AGENTE 8      │</t>
  </si>
  <si>
    <t>     │ Security Core   │     │ DTOs (parte 1)  │     │ Event Bus       │</t>
  </si>
  <si>
    <t>     │   156 tests     │     │   40 tests      │     │   34 tests      │</t>
  </si>
  <si>
    <t>     └────────┬────────┘     └────────┬────────┘     └────────┬────────┘</t>
  </si>
  <si>
    <t>              └────────────────────────┼────────────────────────┘</t>
  </si>
  <si>
    <t>                              ┌────────┴────────┐</t>
  </si>
  <si>
    <t>                              │    NIVEL 1      │</t>
  </si>
  <si>
    <t>                              │    AGENTE 2     │</t>
  </si>
  <si>
    <t>                              │   Documents     │</t>
  </si>
  <si>
    <t>                              │   162 tests     │</t>
  </si>
  <si>
    <t>     │   AGENTE 3      │     │   AGENTE 5      │     │   AGENTE 7      │</t>
  </si>
  <si>
    <t>     │   Projects      │     │   Analysis      │     │  Stakeholders   │</t>
  </si>
  <si>
    <t>     │   116 tests     │     │   78 tests      │     │   112 tests     │</t>
  </si>
  <si>
    <t>              ▼                        │                        │</t>
  </si>
  <si>
    <t>     ┌─────────────────┐               │                        │</t>
  </si>
  <si>
    <t>     │   AGENTE 4      │               │                        │</t>
  </si>
  <si>
    <t>     │  Procurement    │               │                        │</t>
  </si>
  <si>
    <t>     │   116 tests     │               │                        │</t>
  </si>
  <si>
    <t>     └────────┬────────┘               │                        │</t>
  </si>
  <si>
    <t>                              │    NIVEL 3      │</t>
  </si>
  <si>
    <t>                              │   AGENTE 6      │</t>
  </si>
  <si>
    <t>                              │   Coherence     │</t>
  </si>
  <si>
    <t>                              │   206 tests     │</t>
  </si>
  <si>
    <t>                              │   (CRÍTICO)     │</t>
  </si>
  <si>
    <t>     │   AGENTE 9      │     │   AGENTE 10     │     │   AGENTE 11     │</t>
  </si>
  <si>
    <t>     │ Observability   │     │ HTTP Adapters   │     │  Integration    │</t>
  </si>
  <si>
    <t>     │   68 tests      │     │   62 tests      │     │   184 tests     │</t>
  </si>
  <si>
    <t>                              │    NIVEL 5      │</t>
  </si>
  <si>
    <t>                              │   AGENTE 12     │</t>
  </si>
  <si>
    <t>                              │     E2E         │</t>
  </si>
  <si>
    <t>                              │   78 tests      │</t>
  </si>
  <si>
    <t>                              └─────────────────┘</t>
  </si>
  <si>
    <t>### 10.2 Orden Crítico de Ejecución</t>
  </si>
  <si>
    <t>| Orden | Agente | Tests | Sprint | Bloquea | Crítico |</t>
  </si>
  <si>
    <t>| 14 | Agente 12 (E2E) | 78 | S13-S14 | Release | ✅</t>
  </si>
  <si>
    <t xml:space="preserve">║  TEST SUITES ASIGNADOS:     </t>
  </si>
  <si>
    <t>AGENTE</t>
  </si>
  <si>
    <t>7- skateholders</t>
  </si>
  <si>
    <t>9 - analysis</t>
  </si>
  <si>
    <t>4- documents</t>
  </si>
  <si>
    <t>5- coherence</t>
  </si>
  <si>
    <t>6  - project</t>
  </si>
  <si>
    <t>7- procurement</t>
  </si>
  <si>
    <t>8 - skateholders</t>
  </si>
  <si>
    <t>1 - security</t>
  </si>
  <si>
    <t>12 -  API</t>
  </si>
  <si>
    <t>1 -  API</t>
  </si>
  <si>
    <t>4 - documents</t>
  </si>
  <si>
    <t>6 - projects wbs</t>
  </si>
  <si>
    <t>7 - procuremenr</t>
  </si>
  <si>
    <t>5 - coherence</t>
  </si>
  <si>
    <t>11 - intregration</t>
  </si>
  <si>
    <t>3 - asyc arquitecture</t>
  </si>
  <si>
    <t>13-  aysn arquitecture</t>
  </si>
  <si>
    <t>14 - QA/E2E</t>
  </si>
  <si>
    <t>prioridad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</si>
</sst>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font>
      <sz val="11"/>
      <color theme="1"/>
      <name val="Calibri"/>
      <family val="2"/>
      <scheme val="minor"/>
    </font>
    <font>
      <b/>
      <sz val="11"/>
      <color theme="1"/>
      <name val="Calibri"/>
      <family val="2"/>
      <scheme val="minor"/>
    </font>
    <font>
      <b/>
      <sz val="12"/>
      <color rgb="FF0F1115"/>
      <name val="Quote-cjk-patch"/>
    </font>
    <font>
      <sz val="10"/>
      <color theme="1"/>
      <name val="Arial"/>
      <family val="2"/>
    </font>
    <font>
      <sz val="12"/>
      <color rgb="FF0F1115"/>
      <name val="Quote-cjk-patch"/>
    </font>
    <font>
      <sz val="11"/>
      <color rgb="FFCCCCCC"/>
      <name val="Consolas"/>
      <family val="3"/>
    </font>
    <font>
      <b/>
      <sz val="11"/>
      <color rgb="FF569CD6"/>
      <name val="Consolas"/>
      <family val="3"/>
    </font>
    <font>
      <sz val="11"/>
      <color rgb="FFCE9178"/>
      <name val="Consolas"/>
      <family val="3"/>
    </font>
    <font>
      <sz val="11"/>
      <color theme="1"/>
      <name val="Consolas"/>
      <family val="3"/>
    </font>
    <font>
      <sz val="11"/>
      <name val="Consolas"/>
      <family val="3"/>
    </font>
    <font>
      <sz val="11"/>
      <name val="Calibri"/>
      <family val="2"/>
      <scheme val="minor"/>
    </font>
  </fonts>
  <fills count="10">
    <fill>
      <patternFill patternType="none"/>
    </fill>
    <fill>
      <patternFill patternType="gray125"/>
    </fill>
    <fill>
      <patternFill patternType="solid">
        <fgColor rgb="FFFFFFFF"/>
        <bgColor indexed="64"/>
      </patternFill>
    </fill>
    <fill>
      <patternFill patternType="solid">
        <fgColor rgb="FF1F1F1F"/>
        <bgColor indexed="64"/>
      </patternFill>
    </fill>
    <fill>
      <patternFill patternType="solid">
        <fgColor rgb="FFFF0000"/>
        <bgColor indexed="64"/>
      </patternFill>
    </fill>
    <fill>
      <patternFill patternType="solid">
        <fgColor theme="1"/>
        <bgColor indexed="64"/>
      </patternFill>
    </fill>
    <fill>
      <patternFill patternType="solid">
        <fgColor rgb="FFFFC000"/>
        <bgColor indexed="64"/>
      </patternFill>
    </fill>
    <fill>
      <patternFill patternType="solid">
        <fgColor theme="0"/>
        <bgColor indexed="64"/>
      </patternFill>
    </fill>
    <fill>
      <patternFill patternType="solid">
        <fgColor rgb="FF92D050"/>
        <bgColor indexed="64"/>
      </patternFill>
    </fill>
    <fill>
      <patternFill patternType="solid">
        <fgColor rgb="FF00B05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
      <left style="medium">
        <color rgb="FFCCCCCC"/>
      </left>
      <right/>
      <top/>
      <bottom/>
      <diagonal/>
    </border>
  </borders>
  <cellStyleXfs count="1">
    <xf numFmtId="0" fontId="0" fillId="0" borderId="0"/>
  </cellStyleXfs>
  <cellXfs count="37">
    <xf numFmtId="0" fontId="0" fillId="0" borderId="0" xfId="0"/>
    <xf numFmtId="0" fontId="1" fillId="0" borderId="1" xfId="0" applyFont="1" applyBorder="1" applyAlignment="1">
      <alignment horizontal="center" vertical="top"/>
    </xf>
    <xf numFmtId="0" fontId="0" fillId="0" borderId="0" xfId="0" applyAlignment="1">
      <alignment wrapText="1"/>
    </xf>
    <xf numFmtId="0" fontId="1" fillId="0" borderId="2" xfId="0" applyFont="1" applyBorder="1" applyAlignment="1">
      <alignment horizontal="center" vertical="top"/>
    </xf>
    <xf numFmtId="0" fontId="2" fillId="2" borderId="3" xfId="0" applyFont="1" applyFill="1" applyBorder="1" applyAlignment="1">
      <alignment wrapText="1"/>
    </xf>
    <xf numFmtId="0" fontId="3" fillId="0" borderId="3" xfId="0" applyFont="1" applyBorder="1" applyAlignment="1">
      <alignment wrapText="1"/>
    </xf>
    <xf numFmtId="0" fontId="4" fillId="2" borderId="3" xfId="0" applyFont="1" applyFill="1" applyBorder="1" applyAlignment="1">
      <alignment wrapText="1"/>
    </xf>
    <xf numFmtId="9" fontId="4" fillId="2" borderId="3" xfId="0" applyNumberFormat="1" applyFont="1" applyFill="1" applyBorder="1" applyAlignment="1">
      <alignment horizontal="right" wrapText="1"/>
    </xf>
    <xf numFmtId="0" fontId="5" fillId="3" borderId="3" xfId="0" applyFont="1" applyFill="1" applyBorder="1" applyAlignment="1">
      <alignment wrapText="1"/>
    </xf>
    <xf numFmtId="0" fontId="6" fillId="3" borderId="3" xfId="0" applyFont="1" applyFill="1" applyBorder="1" applyAlignment="1">
      <alignment wrapText="1"/>
    </xf>
    <xf numFmtId="0" fontId="7" fillId="0" borderId="0" xfId="0" applyFont="1" applyAlignment="1">
      <alignment vertical="center"/>
    </xf>
    <xf numFmtId="0" fontId="2" fillId="2" borderId="4" xfId="0" applyFont="1" applyFill="1" applyBorder="1" applyAlignment="1">
      <alignment wrapText="1"/>
    </xf>
    <xf numFmtId="0" fontId="4" fillId="2" borderId="4" xfId="0" applyFont="1" applyFill="1" applyBorder="1" applyAlignment="1">
      <alignment wrapText="1"/>
    </xf>
    <xf numFmtId="0" fontId="4" fillId="2" borderId="5" xfId="0" applyFont="1" applyFill="1" applyBorder="1" applyAlignment="1">
      <alignment wrapText="1"/>
    </xf>
    <xf numFmtId="0" fontId="0" fillId="4" borderId="0" xfId="0" applyFill="1" applyAlignment="1">
      <alignment wrapText="1"/>
    </xf>
    <xf numFmtId="0" fontId="0" fillId="4" borderId="0" xfId="0" applyFill="1"/>
    <xf numFmtId="0" fontId="8" fillId="0" borderId="0" xfId="0" applyFont="1" applyAlignment="1">
      <alignment vertical="center"/>
    </xf>
    <xf numFmtId="0" fontId="0" fillId="3" borderId="0" xfId="0" applyFill="1" applyAlignment="1">
      <alignment vertical="center"/>
    </xf>
    <xf numFmtId="0" fontId="5" fillId="5" borderId="0" xfId="0" applyFont="1" applyFill="1" applyAlignment="1">
      <alignment vertical="center"/>
    </xf>
    <xf numFmtId="0" fontId="0" fillId="5" borderId="0" xfId="0" applyFill="1"/>
    <xf numFmtId="0" fontId="0" fillId="6" borderId="0" xfId="0" applyFill="1"/>
    <xf numFmtId="0" fontId="4" fillId="6" borderId="3" xfId="0" applyFont="1" applyFill="1" applyBorder="1" applyAlignment="1">
      <alignment wrapText="1"/>
    </xf>
    <xf numFmtId="0" fontId="9" fillId="7" borderId="0" xfId="0" applyFont="1" applyFill="1" applyAlignment="1">
      <alignment vertical="center"/>
    </xf>
    <xf numFmtId="0" fontId="10" fillId="7" borderId="0" xfId="0" applyFont="1" applyFill="1"/>
    <xf numFmtId="0" fontId="10" fillId="7" borderId="0" xfId="0" applyFont="1" applyFill="1" applyAlignment="1">
      <alignment vertical="center"/>
    </xf>
    <xf numFmtId="0" fontId="4" fillId="7" borderId="3" xfId="0" applyFont="1" applyFill="1" applyBorder="1" applyAlignment="1">
      <alignment wrapText="1"/>
    </xf>
    <xf numFmtId="0" fontId="9" fillId="8" borderId="0" xfId="0" applyFont="1" applyFill="1" applyAlignment="1">
      <alignment vertical="center"/>
    </xf>
    <xf numFmtId="0" fontId="9" fillId="6" borderId="0" xfId="0" applyFont="1" applyFill="1" applyAlignment="1">
      <alignment vertical="center"/>
    </xf>
    <xf numFmtId="0" fontId="9" fillId="9" borderId="0" xfId="0" applyFont="1" applyFill="1" applyAlignment="1">
      <alignment vertical="center"/>
    </xf>
    <xf numFmtId="0" fontId="10" fillId="9" borderId="0" xfId="0" applyFont="1" applyFill="1"/>
    <xf numFmtId="9" fontId="4" fillId="6" borderId="3" xfId="0" applyNumberFormat="1" applyFont="1" applyFill="1" applyBorder="1" applyAlignment="1">
      <alignment horizontal="right" wrapText="1"/>
    </xf>
    <xf numFmtId="0" fontId="4" fillId="0" borderId="3" xfId="0" applyFont="1" applyBorder="1" applyAlignment="1">
      <alignment wrapText="1"/>
    </xf>
    <xf numFmtId="9" fontId="4" fillId="0" borderId="3" xfId="0" applyNumberFormat="1" applyFont="1" applyBorder="1" applyAlignment="1">
      <alignment horizontal="right" wrapText="1"/>
    </xf>
    <xf numFmtId="0" fontId="10" fillId="6" borderId="0" xfId="0" applyFont="1" applyFill="1"/>
    <xf numFmtId="0" fontId="10" fillId="8" borderId="0" xfId="0" applyFont="1" applyFill="1"/>
    <xf numFmtId="0" fontId="9" fillId="4" borderId="0" xfId="0" applyFont="1" applyFill="1" applyAlignment="1">
      <alignment vertical="center"/>
    </xf>
    <xf numFmtId="0" fontId="10" fillId="4" borderId="0" xfId="0" applyFont="1" applyFill="1"/>
  </cellXfs>
  <cellStyles count="1">
    <cellStyle name="Normal" xfId="0" builtinId="0"/>
  </cellStyles>
  <dxfs count="0"/>
  <tableStyles count="1" defaultTableStyle="TableStyleMedium9" defaultPivotStyle="PivotStyleLight16">
    <tableStyle name="Invisible" pivot="0" table="0" count="0" xr9:uid="{14C4A412-8EBC-4DE3-9784-B3F6920F589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4"/>
  <sheetViews>
    <sheetView zoomScaleNormal="100" workbookViewId="0">
      <pane ySplit="1" topLeftCell="A96" activePane="bottomLeft" state="frozen"/>
      <selection pane="bottomLeft" activeCell="A103" sqref="A103"/>
    </sheetView>
  </sheetViews>
  <sheetFormatPr baseColWidth="10" defaultColWidth="8.88671875" defaultRowHeight="19.2" customHeight="1"/>
  <cols>
    <col min="2" max="2" width="21.33203125" bestFit="1" customWidth="1"/>
    <col min="3" max="3" width="29.88671875" bestFit="1" customWidth="1"/>
    <col min="9" max="9" width="38.33203125" hidden="1" customWidth="1"/>
    <col min="10" max="10" width="19.109375" hidden="1" customWidth="1"/>
    <col min="11" max="11" width="62.33203125" hidden="1" customWidth="1"/>
  </cols>
  <sheetData>
    <row r="1" spans="1:13" ht="19.2" customHeight="1">
      <c r="A1" s="1" t="s">
        <v>0</v>
      </c>
      <c r="B1" s="1" t="s">
        <v>1</v>
      </c>
      <c r="C1" s="1" t="s">
        <v>2</v>
      </c>
      <c r="D1" s="1" t="s">
        <v>3</v>
      </c>
      <c r="E1" s="1" t="s">
        <v>4</v>
      </c>
      <c r="F1" s="1" t="s">
        <v>5</v>
      </c>
      <c r="G1" s="3" t="s">
        <v>402</v>
      </c>
      <c r="H1" s="3" t="s">
        <v>403</v>
      </c>
      <c r="I1" s="3" t="s">
        <v>366</v>
      </c>
      <c r="J1" s="3" t="s">
        <v>356</v>
      </c>
      <c r="K1" s="3" t="s">
        <v>406</v>
      </c>
      <c r="L1" s="3" t="s">
        <v>848</v>
      </c>
    </row>
    <row r="2" spans="1:13" ht="19.2" customHeight="1">
      <c r="A2" t="s">
        <v>6</v>
      </c>
      <c r="B2" t="s">
        <v>119</v>
      </c>
      <c r="C2" t="s">
        <v>232</v>
      </c>
      <c r="D2" t="s">
        <v>23</v>
      </c>
      <c r="E2" t="s">
        <v>345</v>
      </c>
      <c r="F2" t="s">
        <v>352</v>
      </c>
      <c r="G2" t="s">
        <v>407</v>
      </c>
      <c r="H2" t="s">
        <v>404</v>
      </c>
      <c r="I2" t="s">
        <v>357</v>
      </c>
      <c r="J2" s="2" t="s">
        <v>355</v>
      </c>
      <c r="K2" t="s">
        <v>405</v>
      </c>
      <c r="M2" t="str">
        <f>VLOOKUP(B2,'Unit Test'!A:J,10,FALSE)</f>
        <v>codex</v>
      </c>
    </row>
    <row r="3" spans="1:13" ht="19.2" customHeight="1">
      <c r="A3" t="s">
        <v>7</v>
      </c>
      <c r="B3" t="s">
        <v>120</v>
      </c>
      <c r="C3" t="s">
        <v>233</v>
      </c>
      <c r="D3" t="s">
        <v>19</v>
      </c>
      <c r="E3" t="s">
        <v>345</v>
      </c>
      <c r="F3" t="s">
        <v>352</v>
      </c>
      <c r="G3" t="s">
        <v>407</v>
      </c>
      <c r="H3" t="s">
        <v>404</v>
      </c>
      <c r="I3" t="s">
        <v>357</v>
      </c>
      <c r="J3" s="2" t="s">
        <v>355</v>
      </c>
      <c r="K3" t="s">
        <v>405</v>
      </c>
      <c r="M3" t="str">
        <f>VLOOKUP(B3,'Unit Test'!A:J,10,FALSE)</f>
        <v>codex</v>
      </c>
    </row>
    <row r="4" spans="1:13" ht="19.2" customHeight="1">
      <c r="A4" t="s">
        <v>8</v>
      </c>
      <c r="B4" t="s">
        <v>121</v>
      </c>
      <c r="C4" t="s">
        <v>234</v>
      </c>
      <c r="D4" t="s">
        <v>17</v>
      </c>
      <c r="E4" t="s">
        <v>345</v>
      </c>
      <c r="F4" t="s">
        <v>352</v>
      </c>
      <c r="G4" t="s">
        <v>407</v>
      </c>
      <c r="H4" t="s">
        <v>404</v>
      </c>
      <c r="I4" t="s">
        <v>357</v>
      </c>
      <c r="J4" s="2" t="s">
        <v>355</v>
      </c>
      <c r="K4" t="s">
        <v>405</v>
      </c>
      <c r="M4" t="str">
        <f>VLOOKUP(B4,'Unit Test'!A:J,10,FALSE)</f>
        <v>codex</v>
      </c>
    </row>
    <row r="5" spans="1:13" ht="19.2" customHeight="1">
      <c r="A5" t="s">
        <v>9</v>
      </c>
      <c r="B5" t="s">
        <v>122</v>
      </c>
      <c r="C5" t="s">
        <v>235</v>
      </c>
      <c r="D5" t="s">
        <v>15</v>
      </c>
      <c r="E5" t="s">
        <v>345</v>
      </c>
      <c r="F5" t="s">
        <v>352</v>
      </c>
      <c r="G5" t="s">
        <v>407</v>
      </c>
      <c r="H5" t="s">
        <v>404</v>
      </c>
      <c r="I5" t="s">
        <v>357</v>
      </c>
      <c r="J5" s="2" t="s">
        <v>355</v>
      </c>
      <c r="K5" t="s">
        <v>405</v>
      </c>
      <c r="L5" t="s">
        <v>404</v>
      </c>
      <c r="M5" t="e">
        <f>VLOOKUP(B5,'Unit Test'!A:J,10,FALSE)</f>
        <v>#N/A</v>
      </c>
    </row>
    <row r="6" spans="1:13" ht="19.2" customHeight="1">
      <c r="A6" t="s">
        <v>10</v>
      </c>
      <c r="B6" t="s">
        <v>123</v>
      </c>
      <c r="C6" t="s">
        <v>236</v>
      </c>
      <c r="D6" t="s">
        <v>29</v>
      </c>
      <c r="E6" t="s">
        <v>345</v>
      </c>
      <c r="F6" t="s">
        <v>352</v>
      </c>
      <c r="G6" t="s">
        <v>407</v>
      </c>
      <c r="H6" t="s">
        <v>404</v>
      </c>
      <c r="I6" t="s">
        <v>371</v>
      </c>
      <c r="J6" s="2" t="s">
        <v>370</v>
      </c>
      <c r="K6" t="s">
        <v>408</v>
      </c>
      <c r="M6" t="str">
        <f>VLOOKUP(B6,'Unit Test'!A:J,10,FALSE)</f>
        <v>codex</v>
      </c>
    </row>
    <row r="7" spans="1:13" ht="19.2" customHeight="1">
      <c r="A7" t="s">
        <v>11</v>
      </c>
      <c r="B7" t="s">
        <v>124</v>
      </c>
      <c r="C7" t="s">
        <v>237</v>
      </c>
      <c r="D7" t="s">
        <v>21</v>
      </c>
      <c r="E7" t="s">
        <v>345</v>
      </c>
      <c r="F7" t="s">
        <v>352</v>
      </c>
      <c r="G7" t="s">
        <v>407</v>
      </c>
      <c r="H7" t="s">
        <v>404</v>
      </c>
      <c r="I7" t="s">
        <v>371</v>
      </c>
      <c r="J7" s="2" t="s">
        <v>370</v>
      </c>
      <c r="K7" t="s">
        <v>408</v>
      </c>
      <c r="M7" t="str">
        <f>VLOOKUP(B7,'Unit Test'!A:J,10,FALSE)</f>
        <v>codex</v>
      </c>
    </row>
    <row r="8" spans="1:13" ht="19.2" customHeight="1">
      <c r="A8" t="s">
        <v>12</v>
      </c>
      <c r="B8" t="s">
        <v>125</v>
      </c>
      <c r="C8" t="s">
        <v>238</v>
      </c>
      <c r="D8" t="s">
        <v>13</v>
      </c>
      <c r="E8" t="s">
        <v>345</v>
      </c>
      <c r="F8" t="s">
        <v>353</v>
      </c>
      <c r="G8" t="s">
        <v>407</v>
      </c>
      <c r="H8" t="s">
        <v>404</v>
      </c>
      <c r="I8" t="s">
        <v>371</v>
      </c>
      <c r="J8" s="2" t="s">
        <v>370</v>
      </c>
      <c r="K8" t="s">
        <v>408</v>
      </c>
      <c r="M8" t="str">
        <f>VLOOKUP(B8,'Unit Test'!A:J,10,FALSE)</f>
        <v>codex</v>
      </c>
    </row>
    <row r="9" spans="1:13" ht="19.2" customHeight="1">
      <c r="A9" t="s">
        <v>13</v>
      </c>
      <c r="B9" t="s">
        <v>126</v>
      </c>
      <c r="C9" t="s">
        <v>239</v>
      </c>
      <c r="D9" t="s">
        <v>19</v>
      </c>
      <c r="E9" t="s">
        <v>345</v>
      </c>
      <c r="F9" t="s">
        <v>352</v>
      </c>
      <c r="G9" t="s">
        <v>407</v>
      </c>
      <c r="H9" t="s">
        <v>404</v>
      </c>
      <c r="I9" t="s">
        <v>391</v>
      </c>
      <c r="J9" s="2" t="s">
        <v>392</v>
      </c>
      <c r="K9" t="s">
        <v>409</v>
      </c>
      <c r="M9" t="str">
        <f>VLOOKUP(B9,'Unit Test'!A:J,10,FALSE)</f>
        <v>codex</v>
      </c>
    </row>
    <row r="10" spans="1:13" ht="19.2" customHeight="1">
      <c r="A10" t="s">
        <v>14</v>
      </c>
      <c r="B10" t="s">
        <v>127</v>
      </c>
      <c r="C10" t="s">
        <v>240</v>
      </c>
      <c r="D10" t="s">
        <v>17</v>
      </c>
      <c r="E10" t="s">
        <v>345</v>
      </c>
      <c r="F10" t="s">
        <v>352</v>
      </c>
      <c r="G10" t="s">
        <v>407</v>
      </c>
      <c r="H10" t="s">
        <v>404</v>
      </c>
      <c r="I10" t="s">
        <v>385</v>
      </c>
      <c r="J10" s="2" t="s">
        <v>386</v>
      </c>
      <c r="K10" t="s">
        <v>412</v>
      </c>
      <c r="L10" t="s">
        <v>404</v>
      </c>
      <c r="M10">
        <f>VLOOKUP(B10,'Unit Test'!A:J,10,FALSE)</f>
        <v>0</v>
      </c>
    </row>
    <row r="11" spans="1:13" ht="19.2" customHeight="1">
      <c r="A11" t="s">
        <v>15</v>
      </c>
      <c r="B11" t="s">
        <v>128</v>
      </c>
      <c r="C11" t="s">
        <v>241</v>
      </c>
      <c r="D11" t="s">
        <v>21</v>
      </c>
      <c r="E11" t="s">
        <v>345</v>
      </c>
      <c r="F11" t="s">
        <v>352</v>
      </c>
      <c r="G11" t="s">
        <v>407</v>
      </c>
      <c r="H11" t="s">
        <v>404</v>
      </c>
      <c r="I11" t="s">
        <v>371</v>
      </c>
      <c r="J11" s="2" t="s">
        <v>370</v>
      </c>
      <c r="K11" t="s">
        <v>408</v>
      </c>
      <c r="L11" t="s">
        <v>404</v>
      </c>
      <c r="M11">
        <f>VLOOKUP(B11,'Unit Test'!A:J,10,FALSE)</f>
        <v>0</v>
      </c>
    </row>
    <row r="12" spans="1:13" ht="19.2" customHeight="1">
      <c r="A12" t="s">
        <v>16</v>
      </c>
      <c r="B12" t="s">
        <v>129</v>
      </c>
      <c r="C12" t="s">
        <v>242</v>
      </c>
      <c r="D12" t="s">
        <v>17</v>
      </c>
      <c r="E12" t="s">
        <v>345</v>
      </c>
      <c r="F12" t="s">
        <v>352</v>
      </c>
      <c r="G12" t="s">
        <v>407</v>
      </c>
      <c r="H12" t="s">
        <v>404</v>
      </c>
      <c r="I12" t="s">
        <v>391</v>
      </c>
      <c r="J12" s="2" t="s">
        <v>392</v>
      </c>
      <c r="K12" t="s">
        <v>410</v>
      </c>
      <c r="M12" t="str">
        <f>VLOOKUP(B12,'Unit Test'!A:J,10,FALSE)</f>
        <v>codex</v>
      </c>
    </row>
    <row r="13" spans="1:13" ht="19.2" customHeight="1">
      <c r="A13" t="s">
        <v>17</v>
      </c>
      <c r="B13" t="s">
        <v>130</v>
      </c>
      <c r="C13" t="s">
        <v>243</v>
      </c>
      <c r="D13" t="s">
        <v>27</v>
      </c>
      <c r="E13" t="s">
        <v>346</v>
      </c>
      <c r="F13" t="s">
        <v>352</v>
      </c>
      <c r="G13" t="s">
        <v>407</v>
      </c>
      <c r="H13" t="s">
        <v>404</v>
      </c>
      <c r="I13" t="s">
        <v>361</v>
      </c>
      <c r="J13" s="2" t="s">
        <v>360</v>
      </c>
      <c r="K13" t="s">
        <v>413</v>
      </c>
      <c r="M13" t="str">
        <f>VLOOKUP(B13,'Unit Test'!A:J,10,FALSE)</f>
        <v>codex</v>
      </c>
    </row>
    <row r="14" spans="1:13" ht="19.2" customHeight="1">
      <c r="A14" t="s">
        <v>18</v>
      </c>
      <c r="B14" s="20" t="s">
        <v>131</v>
      </c>
      <c r="C14" t="s">
        <v>244</v>
      </c>
      <c r="D14" t="s">
        <v>19</v>
      </c>
      <c r="E14" t="s">
        <v>347</v>
      </c>
      <c r="F14" t="s">
        <v>353</v>
      </c>
      <c r="G14" t="s">
        <v>407</v>
      </c>
      <c r="H14" t="s">
        <v>404</v>
      </c>
      <c r="I14" t="s">
        <v>361</v>
      </c>
      <c r="K14" t="s">
        <v>413</v>
      </c>
      <c r="M14">
        <f>VLOOKUP(B14,'Unit Test'!A:J,10,FALSE)</f>
        <v>0</v>
      </c>
    </row>
    <row r="15" spans="1:13" ht="19.2" customHeight="1">
      <c r="A15" t="s">
        <v>19</v>
      </c>
      <c r="B15" t="s">
        <v>132</v>
      </c>
      <c r="C15" t="s">
        <v>245</v>
      </c>
      <c r="D15" t="s">
        <v>15</v>
      </c>
      <c r="E15" t="s">
        <v>347</v>
      </c>
      <c r="F15" t="s">
        <v>353</v>
      </c>
      <c r="G15" t="s">
        <v>407</v>
      </c>
      <c r="H15" t="s">
        <v>404</v>
      </c>
      <c r="I15" t="s">
        <v>361</v>
      </c>
      <c r="K15" t="s">
        <v>413</v>
      </c>
      <c r="M15">
        <f>VLOOKUP(B15,'Unit Test'!A:J,10,FALSE)</f>
        <v>0</v>
      </c>
    </row>
    <row r="16" spans="1:13" ht="19.2" customHeight="1">
      <c r="A16" t="s">
        <v>20</v>
      </c>
      <c r="B16" t="s">
        <v>133</v>
      </c>
      <c r="C16" t="s">
        <v>246</v>
      </c>
      <c r="D16" t="s">
        <v>21</v>
      </c>
      <c r="E16" t="s">
        <v>346</v>
      </c>
      <c r="F16" t="s">
        <v>352</v>
      </c>
      <c r="G16" t="s">
        <v>407</v>
      </c>
      <c r="H16" t="s">
        <v>404</v>
      </c>
      <c r="I16" t="s">
        <v>373</v>
      </c>
      <c r="J16" s="2" t="s">
        <v>372</v>
      </c>
      <c r="K16" t="s">
        <v>414</v>
      </c>
      <c r="M16" t="str">
        <f>VLOOKUP(B16,'Unit Test'!A:J,10,FALSE)</f>
        <v>codex</v>
      </c>
    </row>
    <row r="17" spans="1:13" ht="19.2" customHeight="1">
      <c r="A17" t="s">
        <v>21</v>
      </c>
      <c r="B17" t="s">
        <v>134</v>
      </c>
      <c r="C17" t="s">
        <v>247</v>
      </c>
      <c r="D17" t="s">
        <v>19</v>
      </c>
      <c r="E17" t="s">
        <v>346</v>
      </c>
      <c r="F17" t="s">
        <v>352</v>
      </c>
      <c r="G17" t="s">
        <v>407</v>
      </c>
      <c r="H17" t="s">
        <v>404</v>
      </c>
      <c r="I17" t="s">
        <v>373</v>
      </c>
      <c r="K17" t="s">
        <v>415</v>
      </c>
      <c r="M17" t="str">
        <f>VLOOKUP(B17,'Unit Test'!A:J,10,FALSE)</f>
        <v>codex</v>
      </c>
    </row>
    <row r="18" spans="1:13" ht="19.2" customHeight="1">
      <c r="A18" t="s">
        <v>22</v>
      </c>
      <c r="B18" t="s">
        <v>135</v>
      </c>
      <c r="C18" t="s">
        <v>248</v>
      </c>
      <c r="D18" t="s">
        <v>17</v>
      </c>
      <c r="E18" t="s">
        <v>347</v>
      </c>
      <c r="F18" t="s">
        <v>353</v>
      </c>
      <c r="G18" t="s">
        <v>407</v>
      </c>
      <c r="H18" t="s">
        <v>404</v>
      </c>
      <c r="I18" t="s">
        <v>373</v>
      </c>
      <c r="M18" t="str">
        <f>VLOOKUP(B18,'Unit Test'!A:J,10,FALSE)</f>
        <v>codex</v>
      </c>
    </row>
    <row r="19" spans="1:13" ht="19.2" customHeight="1">
      <c r="A19" t="s">
        <v>23</v>
      </c>
      <c r="B19" t="s">
        <v>136</v>
      </c>
      <c r="C19" t="s">
        <v>249</v>
      </c>
      <c r="D19" t="s">
        <v>15</v>
      </c>
      <c r="E19" t="s">
        <v>347</v>
      </c>
      <c r="F19" t="s">
        <v>353</v>
      </c>
      <c r="G19" t="s">
        <v>407</v>
      </c>
      <c r="H19" t="s">
        <v>404</v>
      </c>
      <c r="I19" t="s">
        <v>373</v>
      </c>
      <c r="M19" t="str">
        <f>VLOOKUP(B19,'Unit Test'!A:J,10,FALSE)</f>
        <v>codex</v>
      </c>
    </row>
    <row r="20" spans="1:13" ht="19.2" customHeight="1">
      <c r="A20" t="s">
        <v>24</v>
      </c>
      <c r="B20" t="s">
        <v>137</v>
      </c>
      <c r="C20" t="s">
        <v>250</v>
      </c>
      <c r="D20" t="s">
        <v>19</v>
      </c>
      <c r="E20" t="s">
        <v>347</v>
      </c>
      <c r="F20" t="s">
        <v>353</v>
      </c>
      <c r="G20" t="s">
        <v>407</v>
      </c>
      <c r="H20" t="s">
        <v>404</v>
      </c>
      <c r="I20" t="s">
        <v>373</v>
      </c>
      <c r="M20" t="str">
        <f>VLOOKUP(B20,'Unit Test'!A:J,10,FALSE)</f>
        <v>codex</v>
      </c>
    </row>
    <row r="21" spans="1:13" ht="19.2" customHeight="1">
      <c r="A21" t="s">
        <v>25</v>
      </c>
      <c r="B21" t="s">
        <v>138</v>
      </c>
      <c r="C21" t="s">
        <v>251</v>
      </c>
      <c r="D21" t="s">
        <v>13</v>
      </c>
      <c r="E21" t="s">
        <v>348</v>
      </c>
      <c r="F21" t="s">
        <v>354</v>
      </c>
      <c r="G21" t="s">
        <v>407</v>
      </c>
      <c r="H21" t="s">
        <v>404</v>
      </c>
      <c r="I21" t="s">
        <v>373</v>
      </c>
      <c r="M21" t="str">
        <f>VLOOKUP(B21,'Unit Test'!A:J,10,FALSE)</f>
        <v>codex</v>
      </c>
    </row>
    <row r="22" spans="1:13" ht="19.2" customHeight="1">
      <c r="A22" t="s">
        <v>26</v>
      </c>
      <c r="B22" t="s">
        <v>139</v>
      </c>
      <c r="C22" t="s">
        <v>252</v>
      </c>
      <c r="D22" t="s">
        <v>17</v>
      </c>
      <c r="E22" t="s">
        <v>345</v>
      </c>
      <c r="F22" t="s">
        <v>352</v>
      </c>
      <c r="G22" t="s">
        <v>407</v>
      </c>
      <c r="H22" t="s">
        <v>404</v>
      </c>
      <c r="I22" t="s">
        <v>373</v>
      </c>
      <c r="M22" t="str">
        <f>VLOOKUP(B22,'Unit Test'!A:J,10,FALSE)</f>
        <v>codex</v>
      </c>
    </row>
    <row r="23" spans="1:13" ht="19.2" customHeight="1">
      <c r="A23" t="s">
        <v>27</v>
      </c>
      <c r="B23" t="s">
        <v>140</v>
      </c>
      <c r="C23" t="s">
        <v>253</v>
      </c>
      <c r="D23" t="s">
        <v>23</v>
      </c>
      <c r="E23" t="s">
        <v>345</v>
      </c>
      <c r="F23" t="s">
        <v>352</v>
      </c>
      <c r="G23" t="s">
        <v>407</v>
      </c>
      <c r="H23" t="s">
        <v>404</v>
      </c>
      <c r="I23" t="s">
        <v>359</v>
      </c>
      <c r="J23" s="2" t="s">
        <v>358</v>
      </c>
      <c r="K23" t="s">
        <v>416</v>
      </c>
      <c r="M23" t="str">
        <f>VLOOKUP(B23,'Unit Test'!A:J,10,FALSE)</f>
        <v>codex</v>
      </c>
    </row>
    <row r="24" spans="1:13" ht="19.2" customHeight="1">
      <c r="A24" t="s">
        <v>28</v>
      </c>
      <c r="B24" t="s">
        <v>141</v>
      </c>
      <c r="C24" t="s">
        <v>254</v>
      </c>
      <c r="D24" t="s">
        <v>21</v>
      </c>
      <c r="E24" t="s">
        <v>345</v>
      </c>
      <c r="F24" t="s">
        <v>352</v>
      </c>
      <c r="G24" t="s">
        <v>407</v>
      </c>
      <c r="H24" t="s">
        <v>404</v>
      </c>
      <c r="I24" t="s">
        <v>359</v>
      </c>
      <c r="K24" t="s">
        <v>417</v>
      </c>
      <c r="M24" t="str">
        <f>VLOOKUP(B24,'Unit Test'!A:J,10,FALSE)</f>
        <v>codex</v>
      </c>
    </row>
    <row r="25" spans="1:13" ht="19.2" customHeight="1">
      <c r="A25" t="s">
        <v>29</v>
      </c>
      <c r="B25" t="s">
        <v>142</v>
      </c>
      <c r="C25" t="s">
        <v>255</v>
      </c>
      <c r="D25" t="s">
        <v>21</v>
      </c>
      <c r="E25" t="s">
        <v>345</v>
      </c>
      <c r="F25" t="s">
        <v>352</v>
      </c>
      <c r="G25" t="s">
        <v>407</v>
      </c>
      <c r="H25" t="s">
        <v>404</v>
      </c>
      <c r="I25" t="s">
        <v>359</v>
      </c>
      <c r="M25" t="str">
        <f>VLOOKUP(B25,'Unit Test'!A:J,10,FALSE)</f>
        <v>codex</v>
      </c>
    </row>
    <row r="26" spans="1:13" ht="19.2" customHeight="1">
      <c r="A26" t="s">
        <v>30</v>
      </c>
      <c r="B26" t="s">
        <v>143</v>
      </c>
      <c r="C26" t="s">
        <v>256</v>
      </c>
      <c r="D26" t="s">
        <v>17</v>
      </c>
      <c r="E26" t="s">
        <v>346</v>
      </c>
      <c r="F26" t="s">
        <v>352</v>
      </c>
      <c r="G26" t="s">
        <v>407</v>
      </c>
      <c r="H26" t="s">
        <v>404</v>
      </c>
      <c r="I26" t="s">
        <v>359</v>
      </c>
      <c r="M26" t="str">
        <f>VLOOKUP(B26,'Unit Test'!A:J,10,FALSE)</f>
        <v>codex</v>
      </c>
    </row>
    <row r="27" spans="1:13" ht="19.2" customHeight="1">
      <c r="A27" t="s">
        <v>31</v>
      </c>
      <c r="B27" t="s">
        <v>144</v>
      </c>
      <c r="C27" t="s">
        <v>257</v>
      </c>
      <c r="D27" t="s">
        <v>15</v>
      </c>
      <c r="E27" t="s">
        <v>346</v>
      </c>
      <c r="F27" t="s">
        <v>352</v>
      </c>
      <c r="G27" t="s">
        <v>407</v>
      </c>
      <c r="H27" t="s">
        <v>404</v>
      </c>
      <c r="I27" t="s">
        <v>359</v>
      </c>
      <c r="M27" t="str">
        <f>VLOOKUP(B27,'Unit Test'!A:J,10,FALSE)</f>
        <v>codex</v>
      </c>
    </row>
    <row r="28" spans="1:13" ht="19.2" customHeight="1">
      <c r="A28" t="s">
        <v>32</v>
      </c>
      <c r="B28" t="s">
        <v>145</v>
      </c>
      <c r="C28" t="s">
        <v>258</v>
      </c>
      <c r="D28" t="s">
        <v>13</v>
      </c>
      <c r="E28" t="s">
        <v>346</v>
      </c>
      <c r="F28" t="s">
        <v>353</v>
      </c>
      <c r="G28" t="s">
        <v>407</v>
      </c>
      <c r="H28" t="s">
        <v>404</v>
      </c>
      <c r="I28" t="s">
        <v>375</v>
      </c>
      <c r="J28" s="2" t="s">
        <v>374</v>
      </c>
      <c r="K28" t="s">
        <v>417</v>
      </c>
      <c r="M28" t="str">
        <f>VLOOKUP(B28,'Unit Test'!A:J,10,FALSE)</f>
        <v>codex</v>
      </c>
    </row>
    <row r="29" spans="1:13" ht="19.2" customHeight="1">
      <c r="A29" t="s">
        <v>33</v>
      </c>
      <c r="B29" t="s">
        <v>146</v>
      </c>
      <c r="C29" t="s">
        <v>259</v>
      </c>
      <c r="D29" t="s">
        <v>19</v>
      </c>
      <c r="E29" t="s">
        <v>345</v>
      </c>
      <c r="F29" t="s">
        <v>352</v>
      </c>
      <c r="G29" t="s">
        <v>407</v>
      </c>
      <c r="H29" t="s">
        <v>404</v>
      </c>
      <c r="I29" t="s">
        <v>375</v>
      </c>
      <c r="M29" t="str">
        <f>VLOOKUP(B29,'Unit Test'!A:J,10,FALSE)</f>
        <v>codex</v>
      </c>
    </row>
    <row r="30" spans="1:13" ht="19.2" customHeight="1">
      <c r="A30" t="s">
        <v>34</v>
      </c>
      <c r="B30" t="s">
        <v>147</v>
      </c>
      <c r="C30" t="s">
        <v>260</v>
      </c>
      <c r="D30" t="s">
        <v>17</v>
      </c>
      <c r="E30" t="s">
        <v>345</v>
      </c>
      <c r="F30" t="s">
        <v>352</v>
      </c>
      <c r="G30" t="s">
        <v>407</v>
      </c>
      <c r="H30" t="s">
        <v>404</v>
      </c>
      <c r="I30" t="s">
        <v>375</v>
      </c>
      <c r="M30" t="str">
        <f>VLOOKUP(B30,'Unit Test'!A:J,10,FALSE)</f>
        <v>codex</v>
      </c>
    </row>
    <row r="31" spans="1:13" ht="19.2" customHeight="1">
      <c r="A31" t="s">
        <v>35</v>
      </c>
      <c r="B31" t="s">
        <v>148</v>
      </c>
      <c r="C31" t="s">
        <v>261</v>
      </c>
      <c r="D31" t="s">
        <v>15</v>
      </c>
      <c r="E31" t="s">
        <v>346</v>
      </c>
      <c r="F31" t="s">
        <v>353</v>
      </c>
      <c r="G31" t="s">
        <v>407</v>
      </c>
      <c r="H31" t="s">
        <v>404</v>
      </c>
      <c r="I31" t="s">
        <v>375</v>
      </c>
      <c r="M31" t="str">
        <f>VLOOKUP(B31,'Unit Test'!A:J,10,FALSE)</f>
        <v>codex</v>
      </c>
    </row>
    <row r="32" spans="1:13" ht="19.2" customHeight="1">
      <c r="A32" t="s">
        <v>36</v>
      </c>
      <c r="B32" t="s">
        <v>149</v>
      </c>
      <c r="C32" t="s">
        <v>262</v>
      </c>
      <c r="D32" t="s">
        <v>21</v>
      </c>
      <c r="E32" t="s">
        <v>345</v>
      </c>
      <c r="F32" t="s">
        <v>352</v>
      </c>
      <c r="G32" t="s">
        <v>407</v>
      </c>
      <c r="H32" t="s">
        <v>404</v>
      </c>
      <c r="I32" t="s">
        <v>375</v>
      </c>
      <c r="M32" t="str">
        <f>VLOOKUP(B32,'Unit Test'!A:J,10,FALSE)</f>
        <v>codex</v>
      </c>
    </row>
    <row r="33" spans="1:13" ht="19.2" customHeight="1">
      <c r="A33" t="s">
        <v>37</v>
      </c>
      <c r="B33" t="s">
        <v>150</v>
      </c>
      <c r="C33" t="s">
        <v>263</v>
      </c>
      <c r="D33" t="s">
        <v>17</v>
      </c>
      <c r="E33" t="s">
        <v>347</v>
      </c>
      <c r="F33" t="s">
        <v>353</v>
      </c>
      <c r="G33" t="s">
        <v>407</v>
      </c>
      <c r="H33" t="s">
        <v>404</v>
      </c>
      <c r="I33" t="s">
        <v>375</v>
      </c>
      <c r="M33" t="str">
        <f>VLOOKUP(B33,'Unit Test'!A:J,10,FALSE)</f>
        <v>codex</v>
      </c>
    </row>
    <row r="34" spans="1:13" ht="19.2" customHeight="1">
      <c r="A34" t="s">
        <v>38</v>
      </c>
      <c r="B34" t="s">
        <v>151</v>
      </c>
      <c r="C34" t="s">
        <v>264</v>
      </c>
      <c r="D34" t="s">
        <v>23</v>
      </c>
      <c r="E34" t="s">
        <v>347</v>
      </c>
      <c r="F34" t="s">
        <v>352</v>
      </c>
      <c r="G34" t="s">
        <v>407</v>
      </c>
      <c r="H34" t="s">
        <v>404</v>
      </c>
      <c r="I34" t="s">
        <v>376</v>
      </c>
      <c r="J34" s="2" t="s">
        <v>377</v>
      </c>
      <c r="M34" t="str">
        <f>VLOOKUP(B34,'Unit Test'!A:J,10,FALSE)</f>
        <v>codex</v>
      </c>
    </row>
    <row r="35" spans="1:13" ht="19.2" customHeight="1">
      <c r="A35" t="s">
        <v>39</v>
      </c>
      <c r="B35" t="s">
        <v>152</v>
      </c>
      <c r="C35" t="s">
        <v>265</v>
      </c>
      <c r="D35" t="s">
        <v>19</v>
      </c>
      <c r="E35" t="s">
        <v>347</v>
      </c>
      <c r="F35" t="s">
        <v>353</v>
      </c>
      <c r="G35" t="s">
        <v>407</v>
      </c>
      <c r="H35" t="s">
        <v>404</v>
      </c>
      <c r="I35" t="s">
        <v>376</v>
      </c>
      <c r="K35" t="s">
        <v>762</v>
      </c>
      <c r="M35" t="str">
        <f>VLOOKUP(B35,'Unit Test'!A:J,10,FALSE)</f>
        <v>codex</v>
      </c>
    </row>
    <row r="36" spans="1:13" ht="19.2" customHeight="1">
      <c r="A36" t="s">
        <v>40</v>
      </c>
      <c r="B36" t="s">
        <v>153</v>
      </c>
      <c r="C36" t="s">
        <v>266</v>
      </c>
      <c r="D36" t="s">
        <v>17</v>
      </c>
      <c r="E36" t="s">
        <v>348</v>
      </c>
      <c r="F36" t="s">
        <v>353</v>
      </c>
      <c r="G36" t="s">
        <v>407</v>
      </c>
      <c r="H36" t="s">
        <v>404</v>
      </c>
      <c r="I36" t="s">
        <v>376</v>
      </c>
      <c r="K36" t="s">
        <v>763</v>
      </c>
      <c r="M36" t="str">
        <f>VLOOKUP(B36,'Unit Test'!A:J,10,FALSE)</f>
        <v>codex</v>
      </c>
    </row>
    <row r="37" spans="1:13" ht="19.2" customHeight="1">
      <c r="A37" t="s">
        <v>41</v>
      </c>
      <c r="B37" t="s">
        <v>154</v>
      </c>
      <c r="C37" t="s">
        <v>267</v>
      </c>
      <c r="D37" t="s">
        <v>15</v>
      </c>
      <c r="E37" t="s">
        <v>348</v>
      </c>
      <c r="F37" t="s">
        <v>353</v>
      </c>
      <c r="G37" t="s">
        <v>407</v>
      </c>
      <c r="H37" t="s">
        <v>404</v>
      </c>
      <c r="I37" t="s">
        <v>376</v>
      </c>
      <c r="K37" t="s">
        <v>764</v>
      </c>
      <c r="M37" t="str">
        <f>VLOOKUP(B37,'Unit Test'!A:J,10,FALSE)</f>
        <v>codex</v>
      </c>
    </row>
    <row r="38" spans="1:13" ht="19.2" customHeight="1">
      <c r="A38" t="s">
        <v>42</v>
      </c>
      <c r="B38" t="s">
        <v>155</v>
      </c>
      <c r="C38" t="s">
        <v>268</v>
      </c>
      <c r="D38" t="s">
        <v>17</v>
      </c>
      <c r="E38" t="s">
        <v>348</v>
      </c>
      <c r="F38" t="s">
        <v>353</v>
      </c>
      <c r="G38" t="s">
        <v>407</v>
      </c>
      <c r="H38" t="s">
        <v>404</v>
      </c>
      <c r="I38" t="s">
        <v>376</v>
      </c>
      <c r="K38" t="s">
        <v>765</v>
      </c>
      <c r="M38" t="str">
        <f>VLOOKUP(B38,'Unit Test'!A:J,10,FALSE)</f>
        <v>codex</v>
      </c>
    </row>
    <row r="39" spans="1:13" ht="19.2" customHeight="1">
      <c r="A39" t="s">
        <v>43</v>
      </c>
      <c r="B39" t="s">
        <v>156</v>
      </c>
      <c r="C39" t="s">
        <v>269</v>
      </c>
      <c r="D39" t="s">
        <v>15</v>
      </c>
      <c r="E39" t="s">
        <v>347</v>
      </c>
      <c r="F39" t="s">
        <v>352</v>
      </c>
      <c r="G39" t="s">
        <v>407</v>
      </c>
      <c r="H39" t="s">
        <v>404</v>
      </c>
      <c r="I39" t="s">
        <v>363</v>
      </c>
      <c r="J39" s="2" t="s">
        <v>362</v>
      </c>
      <c r="K39" t="s">
        <v>766</v>
      </c>
      <c r="M39" t="str">
        <f>VLOOKUP(B39,'Unit Test'!A:J,10,FALSE)</f>
        <v>codex</v>
      </c>
    </row>
    <row r="40" spans="1:13" ht="19.2" customHeight="1">
      <c r="A40" t="s">
        <v>44</v>
      </c>
      <c r="B40" t="s">
        <v>157</v>
      </c>
      <c r="C40" t="s">
        <v>270</v>
      </c>
      <c r="D40" t="s">
        <v>19</v>
      </c>
      <c r="E40" t="s">
        <v>347</v>
      </c>
      <c r="F40" t="s">
        <v>352</v>
      </c>
      <c r="G40" t="s">
        <v>407</v>
      </c>
      <c r="H40" t="s">
        <v>404</v>
      </c>
      <c r="I40" t="s">
        <v>376</v>
      </c>
      <c r="M40" t="str">
        <f>VLOOKUP(B40,'Unit Test'!A:J,10,FALSE)</f>
        <v>codex</v>
      </c>
    </row>
    <row r="41" spans="1:13" ht="19.2" customHeight="1">
      <c r="A41" t="s">
        <v>45</v>
      </c>
      <c r="B41" t="s">
        <v>158</v>
      </c>
      <c r="C41" t="s">
        <v>271</v>
      </c>
      <c r="D41" t="s">
        <v>15</v>
      </c>
      <c r="E41" t="s">
        <v>348</v>
      </c>
      <c r="F41" t="s">
        <v>353</v>
      </c>
      <c r="G41" t="s">
        <v>407</v>
      </c>
      <c r="H41" t="s">
        <v>404</v>
      </c>
      <c r="I41" t="s">
        <v>376</v>
      </c>
      <c r="M41" t="str">
        <f>VLOOKUP(B41,'Unit Test'!A:J,10,FALSE)</f>
        <v>codex</v>
      </c>
    </row>
    <row r="42" spans="1:13" ht="19.2" customHeight="1">
      <c r="A42" t="s">
        <v>46</v>
      </c>
      <c r="B42" t="s">
        <v>159</v>
      </c>
      <c r="C42" t="s">
        <v>272</v>
      </c>
      <c r="D42" t="s">
        <v>21</v>
      </c>
      <c r="E42" t="s">
        <v>346</v>
      </c>
      <c r="F42" t="s">
        <v>352</v>
      </c>
      <c r="G42" t="s">
        <v>407</v>
      </c>
      <c r="H42" t="s">
        <v>404</v>
      </c>
      <c r="I42" t="s">
        <v>376</v>
      </c>
      <c r="M42" t="str">
        <f>VLOOKUP(B42,'Unit Test'!A:J,10,FALSE)</f>
        <v>codex</v>
      </c>
    </row>
    <row r="43" spans="1:13" ht="19.2" customHeight="1">
      <c r="A43" t="s">
        <v>47</v>
      </c>
      <c r="B43" t="s">
        <v>160</v>
      </c>
      <c r="C43" t="s">
        <v>273</v>
      </c>
      <c r="D43" t="s">
        <v>19</v>
      </c>
      <c r="E43" t="s">
        <v>347</v>
      </c>
      <c r="F43" t="s">
        <v>353</v>
      </c>
      <c r="G43" t="s">
        <v>407</v>
      </c>
      <c r="H43" t="s">
        <v>404</v>
      </c>
      <c r="I43" t="s">
        <v>376</v>
      </c>
      <c r="M43" t="str">
        <f>VLOOKUP(B43,'Unit Test'!A:J,10,FALSE)</f>
        <v>codex</v>
      </c>
    </row>
    <row r="44" spans="1:13" ht="19.2" customHeight="1">
      <c r="A44" t="s">
        <v>48</v>
      </c>
      <c r="B44" t="s">
        <v>161</v>
      </c>
      <c r="C44" t="s">
        <v>274</v>
      </c>
      <c r="D44" t="s">
        <v>15</v>
      </c>
      <c r="E44" t="s">
        <v>348</v>
      </c>
      <c r="F44" t="s">
        <v>353</v>
      </c>
      <c r="G44" t="s">
        <v>407</v>
      </c>
      <c r="H44" t="s">
        <v>404</v>
      </c>
      <c r="I44" t="s">
        <v>376</v>
      </c>
      <c r="M44" t="str">
        <f>VLOOKUP(B44,'Unit Test'!A:J,10,FALSE)</f>
        <v>codex</v>
      </c>
    </row>
    <row r="45" spans="1:13" ht="19.2" customHeight="1">
      <c r="A45" t="s">
        <v>49</v>
      </c>
      <c r="B45" t="s">
        <v>162</v>
      </c>
      <c r="C45" t="s">
        <v>275</v>
      </c>
      <c r="D45" t="s">
        <v>13</v>
      </c>
      <c r="E45" t="s">
        <v>348</v>
      </c>
      <c r="F45" t="s">
        <v>353</v>
      </c>
      <c r="G45" t="s">
        <v>407</v>
      </c>
      <c r="H45" t="s">
        <v>404</v>
      </c>
      <c r="I45" t="s">
        <v>376</v>
      </c>
      <c r="M45" t="str">
        <f>VLOOKUP(B45,'Unit Test'!A:J,10,FALSE)</f>
        <v>codex</v>
      </c>
    </row>
    <row r="46" spans="1:13" ht="19.2" customHeight="1">
      <c r="A46" t="s">
        <v>50</v>
      </c>
      <c r="B46" t="s">
        <v>163</v>
      </c>
      <c r="C46" t="s">
        <v>276</v>
      </c>
      <c r="D46" t="s">
        <v>15</v>
      </c>
      <c r="E46" t="s">
        <v>349</v>
      </c>
      <c r="F46" t="s">
        <v>354</v>
      </c>
      <c r="G46" t="s">
        <v>407</v>
      </c>
      <c r="H46" t="s">
        <v>404</v>
      </c>
      <c r="I46" t="s">
        <v>376</v>
      </c>
      <c r="M46" t="str">
        <f>VLOOKUP(B46,'Unit Test'!A:J,10,FALSE)</f>
        <v>codex</v>
      </c>
    </row>
    <row r="47" spans="1:13" ht="19.2" customHeight="1">
      <c r="A47" t="s">
        <v>51</v>
      </c>
      <c r="B47" t="s">
        <v>164</v>
      </c>
      <c r="C47" t="s">
        <v>277</v>
      </c>
      <c r="D47" t="s">
        <v>17</v>
      </c>
      <c r="E47" t="s">
        <v>347</v>
      </c>
      <c r="F47" t="s">
        <v>353</v>
      </c>
      <c r="G47" t="s">
        <v>407</v>
      </c>
      <c r="H47" t="s">
        <v>404</v>
      </c>
      <c r="I47" t="s">
        <v>379</v>
      </c>
      <c r="J47" s="2" t="s">
        <v>378</v>
      </c>
      <c r="K47" t="s">
        <v>768</v>
      </c>
      <c r="M47" t="str">
        <f>VLOOKUP(B47,'Unit Test'!A:J,10,FALSE)</f>
        <v>codex</v>
      </c>
    </row>
    <row r="48" spans="1:13" ht="19.2" customHeight="1">
      <c r="A48" t="s">
        <v>52</v>
      </c>
      <c r="B48" t="s">
        <v>165</v>
      </c>
      <c r="C48" t="s">
        <v>278</v>
      </c>
      <c r="D48" t="s">
        <v>19</v>
      </c>
      <c r="E48" t="s">
        <v>347</v>
      </c>
      <c r="F48" t="s">
        <v>353</v>
      </c>
      <c r="G48" t="s">
        <v>407</v>
      </c>
      <c r="H48" t="s">
        <v>404</v>
      </c>
      <c r="I48" t="s">
        <v>379</v>
      </c>
      <c r="M48" t="str">
        <f>VLOOKUP(B48,'Unit Test'!A:J,10,FALSE)</f>
        <v>codex</v>
      </c>
    </row>
    <row r="49" spans="1:13" ht="19.2" customHeight="1">
      <c r="A49" t="s">
        <v>53</v>
      </c>
      <c r="B49" t="s">
        <v>166</v>
      </c>
      <c r="C49" t="s">
        <v>279</v>
      </c>
      <c r="D49" t="s">
        <v>15</v>
      </c>
      <c r="E49" t="s">
        <v>348</v>
      </c>
      <c r="F49" t="s">
        <v>353</v>
      </c>
      <c r="G49" t="s">
        <v>407</v>
      </c>
      <c r="H49" t="s">
        <v>404</v>
      </c>
      <c r="I49" t="s">
        <v>379</v>
      </c>
      <c r="M49" t="str">
        <f>VLOOKUP(B49,'Unit Test'!A:J,10,FALSE)</f>
        <v>codex</v>
      </c>
    </row>
    <row r="50" spans="1:13" ht="19.2" customHeight="1">
      <c r="A50" t="s">
        <v>54</v>
      </c>
      <c r="B50" t="s">
        <v>167</v>
      </c>
      <c r="C50" t="s">
        <v>280</v>
      </c>
      <c r="D50" t="s">
        <v>15</v>
      </c>
      <c r="E50" t="s">
        <v>347</v>
      </c>
      <c r="F50" t="s">
        <v>353</v>
      </c>
      <c r="G50" t="s">
        <v>407</v>
      </c>
      <c r="H50" t="s">
        <v>404</v>
      </c>
      <c r="I50" t="s">
        <v>379</v>
      </c>
      <c r="M50">
        <f>VLOOKUP(B50,'Unit Test'!A:J,10,FALSE)</f>
        <v>0</v>
      </c>
    </row>
    <row r="51" spans="1:13" ht="19.2" customHeight="1">
      <c r="A51" t="s">
        <v>55</v>
      </c>
      <c r="B51" t="s">
        <v>168</v>
      </c>
      <c r="C51" t="s">
        <v>281</v>
      </c>
      <c r="D51" t="s">
        <v>19</v>
      </c>
      <c r="E51" t="s">
        <v>348</v>
      </c>
      <c r="F51" t="s">
        <v>353</v>
      </c>
      <c r="G51" t="s">
        <v>407</v>
      </c>
      <c r="H51" t="s">
        <v>404</v>
      </c>
      <c r="I51" t="s">
        <v>379</v>
      </c>
      <c r="M51">
        <f>VLOOKUP(B51,'Unit Test'!A:J,10,FALSE)</f>
        <v>0</v>
      </c>
    </row>
    <row r="52" spans="1:13" ht="19.2" customHeight="1">
      <c r="A52" t="s">
        <v>56</v>
      </c>
      <c r="B52" t="s">
        <v>169</v>
      </c>
      <c r="C52" t="s">
        <v>282</v>
      </c>
      <c r="D52" t="s">
        <v>15</v>
      </c>
      <c r="E52" t="s">
        <v>349</v>
      </c>
      <c r="F52" t="s">
        <v>354</v>
      </c>
      <c r="G52" t="s">
        <v>407</v>
      </c>
      <c r="H52" t="s">
        <v>404</v>
      </c>
      <c r="I52" t="s">
        <v>379</v>
      </c>
      <c r="M52">
        <f>VLOOKUP(B52,'Unit Test'!A:J,10,FALSE)</f>
        <v>0</v>
      </c>
    </row>
    <row r="53" spans="1:13" ht="19.2" customHeight="1">
      <c r="A53" t="s">
        <v>57</v>
      </c>
      <c r="B53" t="s">
        <v>170</v>
      </c>
      <c r="C53" t="s">
        <v>283</v>
      </c>
      <c r="D53" t="s">
        <v>13</v>
      </c>
      <c r="E53" t="s">
        <v>349</v>
      </c>
      <c r="F53" t="s">
        <v>354</v>
      </c>
      <c r="G53" t="s">
        <v>407</v>
      </c>
      <c r="H53" t="s">
        <v>404</v>
      </c>
      <c r="I53" t="s">
        <v>379</v>
      </c>
      <c r="M53">
        <f>VLOOKUP(B53,'Unit Test'!A:J,10,FALSE)</f>
        <v>0</v>
      </c>
    </row>
    <row r="54" spans="1:13" ht="19.2" customHeight="1">
      <c r="A54" t="s">
        <v>58</v>
      </c>
      <c r="B54" t="s">
        <v>171</v>
      </c>
      <c r="C54" t="s">
        <v>284</v>
      </c>
      <c r="D54" t="s">
        <v>17</v>
      </c>
      <c r="E54" t="s">
        <v>347</v>
      </c>
      <c r="F54" t="s">
        <v>353</v>
      </c>
      <c r="G54" t="s">
        <v>407</v>
      </c>
      <c r="H54" t="s">
        <v>404</v>
      </c>
      <c r="I54" t="s">
        <v>379</v>
      </c>
      <c r="M54">
        <f>VLOOKUP(B54,'Unit Test'!A:J,10,FALSE)</f>
        <v>0</v>
      </c>
    </row>
    <row r="55" spans="1:13" ht="19.2" customHeight="1">
      <c r="A55" t="s">
        <v>59</v>
      </c>
      <c r="B55" t="s">
        <v>172</v>
      </c>
      <c r="C55" t="s">
        <v>285</v>
      </c>
      <c r="D55" t="s">
        <v>15</v>
      </c>
      <c r="E55" t="s">
        <v>348</v>
      </c>
      <c r="F55" t="s">
        <v>353</v>
      </c>
      <c r="G55" t="s">
        <v>407</v>
      </c>
      <c r="H55" t="s">
        <v>404</v>
      </c>
      <c r="I55" t="s">
        <v>379</v>
      </c>
      <c r="M55">
        <f>VLOOKUP(B55,'Unit Test'!A:J,10,FALSE)</f>
        <v>0</v>
      </c>
    </row>
    <row r="56" spans="1:13" ht="19.2" customHeight="1">
      <c r="A56" t="s">
        <v>60</v>
      </c>
      <c r="B56" t="s">
        <v>173</v>
      </c>
      <c r="C56" t="s">
        <v>286</v>
      </c>
      <c r="D56" t="s">
        <v>15</v>
      </c>
      <c r="E56" t="s">
        <v>348</v>
      </c>
      <c r="F56" t="s">
        <v>353</v>
      </c>
      <c r="G56" t="s">
        <v>407</v>
      </c>
      <c r="H56" t="s">
        <v>404</v>
      </c>
      <c r="I56" t="s">
        <v>379</v>
      </c>
      <c r="M56">
        <f>VLOOKUP(B56,'Unit Test'!A:J,10,FALSE)</f>
        <v>0</v>
      </c>
    </row>
    <row r="57" spans="1:13" ht="19.2" customHeight="1">
      <c r="A57" t="s">
        <v>61</v>
      </c>
      <c r="B57" t="s">
        <v>174</v>
      </c>
      <c r="C57" t="s">
        <v>287</v>
      </c>
      <c r="D57" t="s">
        <v>13</v>
      </c>
      <c r="E57" t="s">
        <v>349</v>
      </c>
      <c r="F57" t="s">
        <v>354</v>
      </c>
      <c r="G57" t="s">
        <v>407</v>
      </c>
      <c r="H57" t="s">
        <v>404</v>
      </c>
      <c r="I57" t="s">
        <v>379</v>
      </c>
      <c r="M57">
        <f>VLOOKUP(B57,'Unit Test'!A:J,10,FALSE)</f>
        <v>0</v>
      </c>
    </row>
    <row r="58" spans="1:13" ht="19.2" customHeight="1">
      <c r="A58" t="s">
        <v>62</v>
      </c>
      <c r="B58" t="s">
        <v>175</v>
      </c>
      <c r="C58" t="s">
        <v>288</v>
      </c>
      <c r="D58" t="s">
        <v>13</v>
      </c>
      <c r="E58" t="s">
        <v>349</v>
      </c>
      <c r="F58" t="s">
        <v>354</v>
      </c>
      <c r="G58" t="s">
        <v>407</v>
      </c>
      <c r="H58" t="s">
        <v>404</v>
      </c>
      <c r="I58" t="s">
        <v>379</v>
      </c>
      <c r="M58">
        <f>VLOOKUP(B58,'Unit Test'!A:J,10,FALSE)</f>
        <v>0</v>
      </c>
    </row>
    <row r="59" spans="1:13" ht="19.2" customHeight="1">
      <c r="A59" t="s">
        <v>63</v>
      </c>
      <c r="B59" t="s">
        <v>176</v>
      </c>
      <c r="C59" t="s">
        <v>289</v>
      </c>
      <c r="D59" t="s">
        <v>17</v>
      </c>
      <c r="E59" t="s">
        <v>347</v>
      </c>
      <c r="F59" t="s">
        <v>352</v>
      </c>
      <c r="G59" t="s">
        <v>407</v>
      </c>
      <c r="H59" t="s">
        <v>404</v>
      </c>
      <c r="I59" t="s">
        <v>373</v>
      </c>
      <c r="M59">
        <f>VLOOKUP(B59,'Unit Test'!A:J,10,FALSE)</f>
        <v>0</v>
      </c>
    </row>
    <row r="60" spans="1:13" ht="19.2" customHeight="1">
      <c r="A60" t="s">
        <v>64</v>
      </c>
      <c r="B60" t="s">
        <v>177</v>
      </c>
      <c r="C60" t="s">
        <v>290</v>
      </c>
      <c r="D60" t="s">
        <v>19</v>
      </c>
      <c r="E60" t="s">
        <v>347</v>
      </c>
      <c r="F60" t="s">
        <v>352</v>
      </c>
      <c r="G60" t="s">
        <v>407</v>
      </c>
      <c r="H60" t="s">
        <v>404</v>
      </c>
      <c r="I60" t="s">
        <v>373</v>
      </c>
      <c r="M60">
        <f>VLOOKUP(B60,'Unit Test'!A:J,10,FALSE)</f>
        <v>0</v>
      </c>
    </row>
    <row r="61" spans="1:13" ht="19.2" customHeight="1">
      <c r="A61" t="s">
        <v>65</v>
      </c>
      <c r="B61" t="s">
        <v>178</v>
      </c>
      <c r="C61" t="s">
        <v>291</v>
      </c>
      <c r="D61" t="s">
        <v>17</v>
      </c>
      <c r="E61" t="s">
        <v>348</v>
      </c>
      <c r="F61" t="s">
        <v>353</v>
      </c>
      <c r="G61" t="s">
        <v>407</v>
      </c>
      <c r="H61" t="s">
        <v>404</v>
      </c>
      <c r="I61" t="s">
        <v>373</v>
      </c>
      <c r="M61">
        <f>VLOOKUP(B61,'Unit Test'!A:J,10,FALSE)</f>
        <v>0</v>
      </c>
    </row>
    <row r="62" spans="1:13" ht="19.2" customHeight="1">
      <c r="A62" t="s">
        <v>66</v>
      </c>
      <c r="B62" t="s">
        <v>179</v>
      </c>
      <c r="C62" t="s">
        <v>292</v>
      </c>
      <c r="D62" t="s">
        <v>21</v>
      </c>
      <c r="E62" t="s">
        <v>346</v>
      </c>
      <c r="F62" t="s">
        <v>352</v>
      </c>
      <c r="G62" t="s">
        <v>407</v>
      </c>
      <c r="H62" t="s">
        <v>404</v>
      </c>
      <c r="I62" t="s">
        <v>375</v>
      </c>
      <c r="M62">
        <f>VLOOKUP(B62,'Unit Test'!A:J,10,FALSE)</f>
        <v>0</v>
      </c>
    </row>
    <row r="63" spans="1:13" ht="19.2" customHeight="1">
      <c r="A63" t="s">
        <v>67</v>
      </c>
      <c r="B63" t="s">
        <v>180</v>
      </c>
      <c r="C63" t="s">
        <v>293</v>
      </c>
      <c r="D63" t="s">
        <v>15</v>
      </c>
      <c r="E63" t="s">
        <v>347</v>
      </c>
      <c r="F63" t="s">
        <v>353</v>
      </c>
      <c r="G63" t="s">
        <v>407</v>
      </c>
      <c r="H63" t="s">
        <v>404</v>
      </c>
      <c r="I63" t="s">
        <v>375</v>
      </c>
      <c r="M63">
        <f>VLOOKUP(B63,'Unit Test'!A:J,10,FALSE)</f>
        <v>0</v>
      </c>
    </row>
    <row r="64" spans="1:13" ht="19.2" customHeight="1">
      <c r="A64" t="s">
        <v>68</v>
      </c>
      <c r="B64" t="s">
        <v>181</v>
      </c>
      <c r="C64" t="s">
        <v>294</v>
      </c>
      <c r="D64" t="s">
        <v>17</v>
      </c>
      <c r="E64" t="s">
        <v>348</v>
      </c>
      <c r="F64" t="s">
        <v>353</v>
      </c>
      <c r="G64" t="s">
        <v>407</v>
      </c>
      <c r="H64" t="s">
        <v>404</v>
      </c>
      <c r="I64" t="s">
        <v>376</v>
      </c>
      <c r="M64" t="str">
        <f>VLOOKUP(B64,'Unit Test'!A:J,10,FALSE)</f>
        <v>codex</v>
      </c>
    </row>
    <row r="65" spans="1:13" ht="19.2" customHeight="1">
      <c r="A65" t="s">
        <v>69</v>
      </c>
      <c r="B65" t="s">
        <v>182</v>
      </c>
      <c r="C65" t="s">
        <v>295</v>
      </c>
      <c r="D65" t="s">
        <v>19</v>
      </c>
      <c r="E65" t="s">
        <v>348</v>
      </c>
      <c r="F65" t="s">
        <v>353</v>
      </c>
      <c r="G65" t="s">
        <v>407</v>
      </c>
      <c r="H65" t="s">
        <v>404</v>
      </c>
      <c r="I65" t="s">
        <v>376</v>
      </c>
      <c r="M65" t="str">
        <f>VLOOKUP(B65,'Unit Test'!A:J,10,FALSE)</f>
        <v>codex</v>
      </c>
    </row>
    <row r="66" spans="1:13" ht="19.2" customHeight="1">
      <c r="A66" t="s">
        <v>70</v>
      </c>
      <c r="B66" t="s">
        <v>183</v>
      </c>
      <c r="C66" t="s">
        <v>296</v>
      </c>
      <c r="D66" t="s">
        <v>15</v>
      </c>
      <c r="E66" t="s">
        <v>348</v>
      </c>
      <c r="F66" t="s">
        <v>353</v>
      </c>
      <c r="G66" t="s">
        <v>407</v>
      </c>
      <c r="H66" t="s">
        <v>404</v>
      </c>
      <c r="I66" t="s">
        <v>376</v>
      </c>
      <c r="M66">
        <f>VLOOKUP(B66,'Unit Test'!A:J,10,FALSE)</f>
        <v>0</v>
      </c>
    </row>
    <row r="67" spans="1:13" ht="19.2" customHeight="1">
      <c r="A67" t="s">
        <v>71</v>
      </c>
      <c r="B67" t="s">
        <v>184</v>
      </c>
      <c r="C67" t="s">
        <v>297</v>
      </c>
      <c r="D67" t="s">
        <v>17</v>
      </c>
      <c r="E67" t="s">
        <v>347</v>
      </c>
      <c r="F67" t="s">
        <v>352</v>
      </c>
      <c r="G67" t="s">
        <v>407</v>
      </c>
      <c r="H67" t="s">
        <v>404</v>
      </c>
      <c r="I67" t="s">
        <v>376</v>
      </c>
      <c r="M67">
        <f>VLOOKUP(B67,'Unit Test'!A:J,10,FALSE)</f>
        <v>0</v>
      </c>
    </row>
    <row r="68" spans="1:13" ht="19.2" customHeight="1">
      <c r="A68" t="s">
        <v>72</v>
      </c>
      <c r="B68" t="s">
        <v>185</v>
      </c>
      <c r="C68" t="s">
        <v>298</v>
      </c>
      <c r="D68" t="s">
        <v>15</v>
      </c>
      <c r="E68" t="s">
        <v>348</v>
      </c>
      <c r="F68" t="s">
        <v>353</v>
      </c>
      <c r="G68" t="s">
        <v>407</v>
      </c>
      <c r="H68" t="s">
        <v>404</v>
      </c>
      <c r="I68" t="s">
        <v>379</v>
      </c>
      <c r="M68">
        <f>VLOOKUP(B68,'Unit Test'!A:J,10,FALSE)</f>
        <v>0</v>
      </c>
    </row>
    <row r="69" spans="1:13" ht="19.2" customHeight="1">
      <c r="A69" t="s">
        <v>73</v>
      </c>
      <c r="B69" t="s">
        <v>186</v>
      </c>
      <c r="C69" t="s">
        <v>299</v>
      </c>
      <c r="D69" t="s">
        <v>15</v>
      </c>
      <c r="E69" t="s">
        <v>348</v>
      </c>
      <c r="F69" t="s">
        <v>353</v>
      </c>
      <c r="G69" t="s">
        <v>407</v>
      </c>
      <c r="H69" t="s">
        <v>404</v>
      </c>
      <c r="I69" t="s">
        <v>379</v>
      </c>
      <c r="M69">
        <f>VLOOKUP(B69,'Unit Test'!A:J,10,FALSE)</f>
        <v>0</v>
      </c>
    </row>
    <row r="70" spans="1:13" ht="19.2" customHeight="1">
      <c r="A70" t="s">
        <v>74</v>
      </c>
      <c r="B70" t="s">
        <v>187</v>
      </c>
      <c r="C70" t="s">
        <v>300</v>
      </c>
      <c r="D70" t="s">
        <v>17</v>
      </c>
      <c r="E70" t="s">
        <v>348</v>
      </c>
      <c r="F70" t="s">
        <v>353</v>
      </c>
      <c r="G70" t="s">
        <v>407</v>
      </c>
      <c r="H70" t="s">
        <v>404</v>
      </c>
      <c r="I70" t="s">
        <v>379</v>
      </c>
      <c r="M70">
        <f>VLOOKUP(B70,'Unit Test'!A:J,10,FALSE)</f>
        <v>0</v>
      </c>
    </row>
    <row r="71" spans="1:13" ht="19.2" customHeight="1">
      <c r="A71" t="s">
        <v>75</v>
      </c>
      <c r="B71" t="s">
        <v>188</v>
      </c>
      <c r="C71" t="s">
        <v>301</v>
      </c>
      <c r="D71" t="s">
        <v>15</v>
      </c>
      <c r="E71" t="s">
        <v>349</v>
      </c>
      <c r="F71" t="s">
        <v>354</v>
      </c>
      <c r="G71" t="s">
        <v>407</v>
      </c>
      <c r="H71" t="s">
        <v>404</v>
      </c>
      <c r="I71" t="s">
        <v>379</v>
      </c>
      <c r="M71">
        <f>VLOOKUP(B71,'Unit Test'!A:J,10,FALSE)</f>
        <v>0</v>
      </c>
    </row>
    <row r="72" spans="1:13" ht="19.2" customHeight="1">
      <c r="A72" t="s">
        <v>76</v>
      </c>
      <c r="B72" t="s">
        <v>189</v>
      </c>
      <c r="C72" t="s">
        <v>302</v>
      </c>
      <c r="D72" t="s">
        <v>15</v>
      </c>
      <c r="E72" t="s">
        <v>345</v>
      </c>
      <c r="F72" t="s">
        <v>352</v>
      </c>
      <c r="G72" t="s">
        <v>407</v>
      </c>
      <c r="H72" t="s">
        <v>404</v>
      </c>
      <c r="I72" t="s">
        <v>369</v>
      </c>
      <c r="J72" s="2" t="s">
        <v>368</v>
      </c>
      <c r="K72" t="s">
        <v>411</v>
      </c>
      <c r="L72" t="s">
        <v>404</v>
      </c>
      <c r="M72">
        <f>VLOOKUP(B72,'Unit Test'!A:J,10,FALSE)</f>
        <v>0</v>
      </c>
    </row>
    <row r="73" spans="1:13" ht="19.2" customHeight="1">
      <c r="A73" t="s">
        <v>77</v>
      </c>
      <c r="B73" t="s">
        <v>190</v>
      </c>
      <c r="C73" t="s">
        <v>303</v>
      </c>
      <c r="D73" t="s">
        <v>17</v>
      </c>
      <c r="E73" t="s">
        <v>345</v>
      </c>
      <c r="F73" t="s">
        <v>352</v>
      </c>
      <c r="G73" t="s">
        <v>407</v>
      </c>
      <c r="H73" t="s">
        <v>404</v>
      </c>
      <c r="I73" t="s">
        <v>369</v>
      </c>
      <c r="J73" s="2" t="s">
        <v>368</v>
      </c>
      <c r="K73" t="s">
        <v>411</v>
      </c>
      <c r="M73">
        <f>VLOOKUP(B73,'Unit Test'!A:J,10,FALSE)</f>
        <v>0</v>
      </c>
    </row>
    <row r="74" spans="1:13" ht="19.2" customHeight="1">
      <c r="A74" t="s">
        <v>78</v>
      </c>
      <c r="B74" t="s">
        <v>191</v>
      </c>
      <c r="C74" t="s">
        <v>304</v>
      </c>
      <c r="D74" t="s">
        <v>19</v>
      </c>
      <c r="E74" t="s">
        <v>347</v>
      </c>
      <c r="F74" t="s">
        <v>352</v>
      </c>
      <c r="G74" t="s">
        <v>407</v>
      </c>
      <c r="H74" t="s">
        <v>404</v>
      </c>
      <c r="I74" t="s">
        <v>396</v>
      </c>
      <c r="J74" s="2" t="s">
        <v>395</v>
      </c>
      <c r="K74" s="2" t="s">
        <v>772</v>
      </c>
      <c r="M74">
        <f>VLOOKUP(B74,'Unit Test'!A:J,10,FALSE)</f>
        <v>0</v>
      </c>
    </row>
    <row r="75" spans="1:13" ht="19.2" customHeight="1">
      <c r="A75" t="s">
        <v>79</v>
      </c>
      <c r="B75" t="s">
        <v>192</v>
      </c>
      <c r="C75" t="s">
        <v>305</v>
      </c>
      <c r="D75" t="s">
        <v>17</v>
      </c>
      <c r="E75" t="s">
        <v>348</v>
      </c>
      <c r="F75" t="s">
        <v>353</v>
      </c>
      <c r="G75" t="s">
        <v>407</v>
      </c>
      <c r="H75" t="s">
        <v>404</v>
      </c>
      <c r="I75" t="s">
        <v>396</v>
      </c>
      <c r="J75" s="2" t="s">
        <v>395</v>
      </c>
      <c r="M75">
        <f>VLOOKUP(B75,'Unit Test'!A:J,10,FALSE)</f>
        <v>0</v>
      </c>
    </row>
    <row r="76" spans="1:13" ht="19.2" customHeight="1">
      <c r="A76" t="s">
        <v>80</v>
      </c>
      <c r="B76" t="s">
        <v>193</v>
      </c>
      <c r="C76" t="s">
        <v>306</v>
      </c>
      <c r="D76" t="s">
        <v>19</v>
      </c>
      <c r="E76" t="s">
        <v>346</v>
      </c>
      <c r="F76" t="s">
        <v>352</v>
      </c>
      <c r="G76" t="s">
        <v>407</v>
      </c>
      <c r="H76" t="s">
        <v>404</v>
      </c>
      <c r="I76" t="s">
        <v>375</v>
      </c>
      <c r="M76">
        <f>VLOOKUP(B76,'Unit Test'!A:J,10,FALSE)</f>
        <v>0</v>
      </c>
    </row>
    <row r="77" spans="1:13" ht="19.2" customHeight="1">
      <c r="A77" t="s">
        <v>81</v>
      </c>
      <c r="B77" t="s">
        <v>194</v>
      </c>
      <c r="C77" t="s">
        <v>307</v>
      </c>
      <c r="D77" t="s">
        <v>21</v>
      </c>
      <c r="E77" t="s">
        <v>345</v>
      </c>
      <c r="F77" t="s">
        <v>352</v>
      </c>
      <c r="G77" t="s">
        <v>407</v>
      </c>
      <c r="H77" t="s">
        <v>404</v>
      </c>
      <c r="I77" t="s">
        <v>371</v>
      </c>
      <c r="J77" s="2" t="s">
        <v>370</v>
      </c>
      <c r="K77" t="s">
        <v>408</v>
      </c>
      <c r="M77">
        <f>VLOOKUP(B77,'Unit Test'!A:J,10,FALSE)</f>
        <v>0</v>
      </c>
    </row>
    <row r="78" spans="1:13" ht="19.2" customHeight="1">
      <c r="A78" t="s">
        <v>82</v>
      </c>
      <c r="B78" t="s">
        <v>195</v>
      </c>
      <c r="C78" t="s">
        <v>308</v>
      </c>
      <c r="D78" t="s">
        <v>17</v>
      </c>
      <c r="E78" t="s">
        <v>345</v>
      </c>
      <c r="F78" t="s">
        <v>352</v>
      </c>
      <c r="G78" t="s">
        <v>407</v>
      </c>
      <c r="H78" t="s">
        <v>404</v>
      </c>
      <c r="I78" t="s">
        <v>371</v>
      </c>
      <c r="J78" s="2" t="s">
        <v>370</v>
      </c>
      <c r="K78" t="s">
        <v>408</v>
      </c>
      <c r="M78">
        <f>VLOOKUP(B78,'Unit Test'!A:J,10,FALSE)</f>
        <v>0</v>
      </c>
    </row>
    <row r="79" spans="1:13" ht="19.2" customHeight="1">
      <c r="A79" t="s">
        <v>83</v>
      </c>
      <c r="B79" t="s">
        <v>196</v>
      </c>
      <c r="C79" t="s">
        <v>309</v>
      </c>
      <c r="D79" t="s">
        <v>15</v>
      </c>
      <c r="E79" t="s">
        <v>345</v>
      </c>
      <c r="F79" t="s">
        <v>352</v>
      </c>
      <c r="G79" t="s">
        <v>407</v>
      </c>
      <c r="H79" t="s">
        <v>404</v>
      </c>
      <c r="I79" t="s">
        <v>388</v>
      </c>
      <c r="J79" s="2" t="s">
        <v>387</v>
      </c>
      <c r="K79" t="s">
        <v>801</v>
      </c>
      <c r="M79">
        <f>VLOOKUP(B79,'Unit Test'!A:J,10,FALSE)</f>
        <v>0</v>
      </c>
    </row>
    <row r="80" spans="1:13" ht="19.2" customHeight="1">
      <c r="A80" t="s">
        <v>84</v>
      </c>
      <c r="B80" t="s">
        <v>197</v>
      </c>
      <c r="C80" t="s">
        <v>310</v>
      </c>
      <c r="D80" t="s">
        <v>17</v>
      </c>
      <c r="E80" t="s">
        <v>347</v>
      </c>
      <c r="F80" t="s">
        <v>353</v>
      </c>
      <c r="G80" t="s">
        <v>407</v>
      </c>
      <c r="H80" t="s">
        <v>404</v>
      </c>
      <c r="I80" t="s">
        <v>388</v>
      </c>
      <c r="K80" s="2" t="s">
        <v>802</v>
      </c>
      <c r="M80">
        <f>VLOOKUP(B80,'Unit Test'!A:J,10,FALSE)</f>
        <v>0</v>
      </c>
    </row>
    <row r="81" spans="1:13" ht="19.2" customHeight="1">
      <c r="A81" t="s">
        <v>100</v>
      </c>
      <c r="B81" t="s">
        <v>213</v>
      </c>
      <c r="C81" t="s">
        <v>326</v>
      </c>
      <c r="D81" t="s">
        <v>19</v>
      </c>
      <c r="E81" t="s">
        <v>349</v>
      </c>
      <c r="F81" t="s">
        <v>353</v>
      </c>
      <c r="G81" t="s">
        <v>407</v>
      </c>
      <c r="H81" t="s">
        <v>404</v>
      </c>
      <c r="I81" t="s">
        <v>381</v>
      </c>
      <c r="K81" s="2" t="s">
        <v>773</v>
      </c>
      <c r="M81">
        <f>VLOOKUP(B81,'Unit Test'!A:J,10,FALSE)</f>
        <v>0</v>
      </c>
    </row>
    <row r="82" spans="1:13" ht="19.2" customHeight="1">
      <c r="A82" t="s">
        <v>101</v>
      </c>
      <c r="B82" t="s">
        <v>214</v>
      </c>
      <c r="C82" t="s">
        <v>327</v>
      </c>
      <c r="D82" t="s">
        <v>15</v>
      </c>
      <c r="E82" t="s">
        <v>348</v>
      </c>
      <c r="F82" t="s">
        <v>353</v>
      </c>
      <c r="G82" t="s">
        <v>407</v>
      </c>
      <c r="H82" t="s">
        <v>404</v>
      </c>
      <c r="I82" t="s">
        <v>381</v>
      </c>
      <c r="M82">
        <f>VLOOKUP(B82,'Unit Test'!A:J,10,FALSE)</f>
        <v>0</v>
      </c>
    </row>
    <row r="83" spans="1:13" ht="19.2" customHeight="1">
      <c r="A83" t="s">
        <v>87</v>
      </c>
      <c r="B83" t="s">
        <v>200</v>
      </c>
      <c r="C83" t="s">
        <v>313</v>
      </c>
      <c r="D83" t="s">
        <v>37</v>
      </c>
      <c r="E83" t="s">
        <v>348</v>
      </c>
      <c r="F83" t="s">
        <v>353</v>
      </c>
      <c r="G83" t="s">
        <v>407</v>
      </c>
      <c r="H83" t="s">
        <v>404</v>
      </c>
      <c r="I83" t="s">
        <v>389</v>
      </c>
      <c r="J83" s="2" t="s">
        <v>390</v>
      </c>
      <c r="K83" s="2" t="s">
        <v>793</v>
      </c>
      <c r="L83" t="s">
        <v>849</v>
      </c>
      <c r="M83">
        <f>VLOOKUP(B83,'Unit Test'!A:J,10,FALSE)</f>
        <v>0</v>
      </c>
    </row>
    <row r="84" spans="1:13" ht="19.2" customHeight="1">
      <c r="A84" t="s">
        <v>102</v>
      </c>
      <c r="B84" t="s">
        <v>215</v>
      </c>
      <c r="C84" t="s">
        <v>328</v>
      </c>
      <c r="D84" t="s">
        <v>19</v>
      </c>
      <c r="E84" t="s">
        <v>349</v>
      </c>
      <c r="F84" t="s">
        <v>353</v>
      </c>
      <c r="G84" t="s">
        <v>407</v>
      </c>
      <c r="H84" t="s">
        <v>404</v>
      </c>
      <c r="I84" t="s">
        <v>381</v>
      </c>
      <c r="M84">
        <f>VLOOKUP(B84,'Unit Test'!A:J,10,FALSE)</f>
        <v>0</v>
      </c>
    </row>
    <row r="85" spans="1:13" ht="19.2" customHeight="1">
      <c r="A85" t="s">
        <v>89</v>
      </c>
      <c r="B85" t="s">
        <v>202</v>
      </c>
      <c r="C85" t="s">
        <v>315</v>
      </c>
      <c r="D85" t="s">
        <v>17</v>
      </c>
      <c r="E85" t="s">
        <v>348</v>
      </c>
      <c r="F85" t="s">
        <v>353</v>
      </c>
      <c r="G85" t="s">
        <v>407</v>
      </c>
      <c r="H85" t="s">
        <v>404</v>
      </c>
      <c r="I85" t="s">
        <v>389</v>
      </c>
      <c r="K85" t="s">
        <v>794</v>
      </c>
      <c r="M85" t="str">
        <f>VLOOKUP(B85,'Unit Test'!A:J,10,FALSE)</f>
        <v>CODEX</v>
      </c>
    </row>
    <row r="86" spans="1:13" ht="19.2" customHeight="1">
      <c r="A86" t="s">
        <v>88</v>
      </c>
      <c r="B86" t="s">
        <v>201</v>
      </c>
      <c r="C86" t="s">
        <v>314</v>
      </c>
      <c r="D86" t="s">
        <v>23</v>
      </c>
      <c r="E86" t="s">
        <v>347</v>
      </c>
      <c r="F86" t="s">
        <v>352</v>
      </c>
      <c r="G86" t="s">
        <v>407</v>
      </c>
      <c r="H86" t="s">
        <v>404</v>
      </c>
      <c r="I86" t="s">
        <v>381</v>
      </c>
      <c r="K86" t="s">
        <v>795</v>
      </c>
      <c r="L86" t="s">
        <v>850</v>
      </c>
      <c r="M86">
        <f>VLOOKUP(B86,'Unit Test'!A:J,10,FALSE)</f>
        <v>0</v>
      </c>
    </row>
    <row r="87" spans="1:13" ht="19.2" customHeight="1">
      <c r="A87" t="s">
        <v>91</v>
      </c>
      <c r="B87" t="s">
        <v>204</v>
      </c>
      <c r="C87" t="s">
        <v>317</v>
      </c>
      <c r="D87" t="s">
        <v>19</v>
      </c>
      <c r="E87" t="s">
        <v>349</v>
      </c>
      <c r="F87" t="s">
        <v>353</v>
      </c>
      <c r="G87" t="s">
        <v>407</v>
      </c>
      <c r="H87" t="s">
        <v>404</v>
      </c>
      <c r="I87" t="s">
        <v>381</v>
      </c>
      <c r="M87">
        <f>VLOOKUP(B87,'Unit Test'!A:J,10,FALSE)</f>
        <v>0</v>
      </c>
    </row>
    <row r="88" spans="1:13" ht="19.2" customHeight="1">
      <c r="A88" t="s">
        <v>93</v>
      </c>
      <c r="B88" t="s">
        <v>206</v>
      </c>
      <c r="C88" t="s">
        <v>319</v>
      </c>
      <c r="D88" t="s">
        <v>13</v>
      </c>
      <c r="E88" t="s">
        <v>349</v>
      </c>
      <c r="F88" t="s">
        <v>354</v>
      </c>
      <c r="G88" t="s">
        <v>407</v>
      </c>
      <c r="H88" t="s">
        <v>404</v>
      </c>
      <c r="I88" t="s">
        <v>381</v>
      </c>
      <c r="M88">
        <f>VLOOKUP(B88,'Unit Test'!A:J,10,FALSE)</f>
        <v>0</v>
      </c>
    </row>
    <row r="89" spans="1:13" ht="19.2" customHeight="1">
      <c r="A89" t="s">
        <v>92</v>
      </c>
      <c r="B89" t="s">
        <v>205</v>
      </c>
      <c r="C89" t="s">
        <v>318</v>
      </c>
      <c r="D89" t="s">
        <v>15</v>
      </c>
      <c r="E89" t="s">
        <v>348</v>
      </c>
      <c r="F89" t="s">
        <v>353</v>
      </c>
      <c r="G89" t="s">
        <v>407</v>
      </c>
      <c r="H89" t="s">
        <v>404</v>
      </c>
      <c r="I89" t="s">
        <v>381</v>
      </c>
      <c r="M89">
        <f>VLOOKUP(B89,'Unit Test'!A:J,10,FALSE)</f>
        <v>0</v>
      </c>
    </row>
    <row r="90" spans="1:13" ht="19.2" customHeight="1">
      <c r="A90" t="s">
        <v>94</v>
      </c>
      <c r="B90" t="s">
        <v>207</v>
      </c>
      <c r="C90" t="s">
        <v>320</v>
      </c>
      <c r="D90" t="s">
        <v>19</v>
      </c>
      <c r="E90" t="s">
        <v>347</v>
      </c>
      <c r="F90" t="s">
        <v>352</v>
      </c>
      <c r="G90" t="s">
        <v>407</v>
      </c>
      <c r="H90" t="s">
        <v>404</v>
      </c>
      <c r="I90" t="s">
        <v>383</v>
      </c>
      <c r="J90" s="2" t="s">
        <v>384</v>
      </c>
      <c r="K90" s="2" t="s">
        <v>797</v>
      </c>
      <c r="M90" t="str">
        <f>VLOOKUP(B90,'Unit Test'!A:J,10,FALSE)</f>
        <v>codex</v>
      </c>
    </row>
    <row r="91" spans="1:13" ht="19.2" customHeight="1">
      <c r="A91" t="s">
        <v>95</v>
      </c>
      <c r="B91" t="s">
        <v>208</v>
      </c>
      <c r="C91" t="s">
        <v>321</v>
      </c>
      <c r="D91" t="s">
        <v>17</v>
      </c>
      <c r="E91" t="s">
        <v>348</v>
      </c>
      <c r="F91" t="s">
        <v>353</v>
      </c>
      <c r="G91" t="s">
        <v>407</v>
      </c>
      <c r="H91" t="s">
        <v>404</v>
      </c>
      <c r="I91" t="s">
        <v>383</v>
      </c>
      <c r="K91" s="2" t="s">
        <v>798</v>
      </c>
      <c r="M91" t="str">
        <f>VLOOKUP(B91,'Unit Test'!A:J,10,FALSE)</f>
        <v>codex</v>
      </c>
    </row>
    <row r="92" spans="1:13" ht="19.2" customHeight="1">
      <c r="A92" t="s">
        <v>96</v>
      </c>
      <c r="B92" t="s">
        <v>209</v>
      </c>
      <c r="C92" t="s">
        <v>322</v>
      </c>
      <c r="D92" t="s">
        <v>17</v>
      </c>
      <c r="E92" t="s">
        <v>348</v>
      </c>
      <c r="F92" t="s">
        <v>353</v>
      </c>
      <c r="G92" t="s">
        <v>407</v>
      </c>
      <c r="H92" t="s">
        <v>404</v>
      </c>
      <c r="I92" t="s">
        <v>383</v>
      </c>
      <c r="K92" s="2" t="s">
        <v>799</v>
      </c>
      <c r="M92" t="str">
        <f>VLOOKUP(B92,'Unit Test'!A:J,10,FALSE)</f>
        <v>codex</v>
      </c>
    </row>
    <row r="93" spans="1:13" ht="19.2" customHeight="1">
      <c r="A93" t="s">
        <v>97</v>
      </c>
      <c r="B93" t="s">
        <v>210</v>
      </c>
      <c r="C93" t="s">
        <v>323</v>
      </c>
      <c r="D93" t="s">
        <v>15</v>
      </c>
      <c r="E93" t="s">
        <v>348</v>
      </c>
      <c r="F93" t="s">
        <v>353</v>
      </c>
      <c r="G93" t="s">
        <v>407</v>
      </c>
      <c r="H93" t="s">
        <v>404</v>
      </c>
      <c r="I93" t="s">
        <v>383</v>
      </c>
      <c r="M93">
        <f>VLOOKUP(B93,'Unit Test'!A:J,10,FALSE)</f>
        <v>0</v>
      </c>
    </row>
    <row r="94" spans="1:13" ht="19.2" customHeight="1">
      <c r="A94" t="s">
        <v>98</v>
      </c>
      <c r="B94" t="s">
        <v>211</v>
      </c>
      <c r="C94" t="s">
        <v>324</v>
      </c>
      <c r="D94" t="s">
        <v>17</v>
      </c>
      <c r="E94" t="s">
        <v>347</v>
      </c>
      <c r="F94" t="s">
        <v>352</v>
      </c>
      <c r="G94" t="s">
        <v>407</v>
      </c>
      <c r="H94" t="s">
        <v>404</v>
      </c>
      <c r="I94" t="s">
        <v>375</v>
      </c>
      <c r="K94" t="s">
        <v>417</v>
      </c>
      <c r="M94">
        <f>VLOOKUP(B94,'Unit Test'!A:J,10,FALSE)</f>
        <v>0</v>
      </c>
    </row>
    <row r="95" spans="1:13" ht="19.2" customHeight="1">
      <c r="A95" t="s">
        <v>99</v>
      </c>
      <c r="B95" t="s">
        <v>212</v>
      </c>
      <c r="C95" t="s">
        <v>325</v>
      </c>
      <c r="D95" t="s">
        <v>15</v>
      </c>
      <c r="E95" t="s">
        <v>347</v>
      </c>
      <c r="F95" t="s">
        <v>353</v>
      </c>
      <c r="G95" t="s">
        <v>407</v>
      </c>
      <c r="H95" t="s">
        <v>404</v>
      </c>
      <c r="I95" t="s">
        <v>371</v>
      </c>
      <c r="J95" s="2" t="s">
        <v>370</v>
      </c>
      <c r="K95" t="s">
        <v>408</v>
      </c>
      <c r="M95">
        <f>VLOOKUP(B95,'Unit Test'!A:J,10,FALSE)</f>
        <v>0</v>
      </c>
    </row>
    <row r="96" spans="1:13" ht="19.2" customHeight="1">
      <c r="A96" t="s">
        <v>90</v>
      </c>
      <c r="B96" t="s">
        <v>203</v>
      </c>
      <c r="C96" t="s">
        <v>316</v>
      </c>
      <c r="D96" t="s">
        <v>33</v>
      </c>
      <c r="E96" t="s">
        <v>348</v>
      </c>
      <c r="F96" t="s">
        <v>353</v>
      </c>
      <c r="G96" t="s">
        <v>407</v>
      </c>
      <c r="H96" t="s">
        <v>404</v>
      </c>
      <c r="I96" t="s">
        <v>381</v>
      </c>
      <c r="M96">
        <f>VLOOKUP(B96,'Unit Test'!A:J,10,FALSE)</f>
        <v>0</v>
      </c>
    </row>
    <row r="97" spans="1:13" ht="19.2" customHeight="1">
      <c r="A97" t="s">
        <v>85</v>
      </c>
      <c r="B97" t="s">
        <v>198</v>
      </c>
      <c r="C97" t="s">
        <v>311</v>
      </c>
      <c r="D97" t="s">
        <v>29</v>
      </c>
      <c r="E97" t="s">
        <v>346</v>
      </c>
      <c r="F97" t="s">
        <v>352</v>
      </c>
      <c r="G97" t="s">
        <v>407</v>
      </c>
      <c r="H97" t="s">
        <v>404</v>
      </c>
      <c r="I97" t="s">
        <v>381</v>
      </c>
      <c r="J97" s="2" t="s">
        <v>380</v>
      </c>
      <c r="L97" t="s">
        <v>849</v>
      </c>
      <c r="M97" t="str">
        <f>VLOOKUP(B97,'Unit Test'!A:J,10,FALSE)</f>
        <v>CODEX</v>
      </c>
    </row>
    <row r="98" spans="1:13" ht="19.2" customHeight="1">
      <c r="A98" t="s">
        <v>86</v>
      </c>
      <c r="B98" t="s">
        <v>199</v>
      </c>
      <c r="C98" t="s">
        <v>312</v>
      </c>
      <c r="D98" t="s">
        <v>21</v>
      </c>
      <c r="E98" t="s">
        <v>347</v>
      </c>
      <c r="F98" t="s">
        <v>353</v>
      </c>
      <c r="G98" t="s">
        <v>407</v>
      </c>
      <c r="H98" t="s">
        <v>404</v>
      </c>
      <c r="I98" t="s">
        <v>381</v>
      </c>
      <c r="L98" t="s">
        <v>849</v>
      </c>
      <c r="M98" t="str">
        <f>VLOOKUP(B98,'Unit Test'!A:J,10,FALSE)</f>
        <v>CODEX</v>
      </c>
    </row>
    <row r="99" spans="1:13" ht="19.2" customHeight="1">
      <c r="A99" t="s">
        <v>103</v>
      </c>
      <c r="B99" t="s">
        <v>216</v>
      </c>
      <c r="C99" t="s">
        <v>329</v>
      </c>
      <c r="D99" t="s">
        <v>17</v>
      </c>
      <c r="E99" t="s">
        <v>347</v>
      </c>
      <c r="F99" t="s">
        <v>352</v>
      </c>
      <c r="G99" t="s">
        <v>407</v>
      </c>
      <c r="H99" t="s">
        <v>404</v>
      </c>
      <c r="I99" t="s">
        <v>363</v>
      </c>
      <c r="K99" t="s">
        <v>766</v>
      </c>
      <c r="M99">
        <f>VLOOKUP(B99,'Unit Test'!A:J,10,FALSE)</f>
        <v>0</v>
      </c>
    </row>
    <row r="100" spans="1:13" ht="19.2" customHeight="1">
      <c r="A100" t="s">
        <v>104</v>
      </c>
      <c r="B100" t="s">
        <v>217</v>
      </c>
      <c r="C100" t="s">
        <v>330</v>
      </c>
      <c r="D100" t="s">
        <v>15</v>
      </c>
      <c r="E100" t="s">
        <v>348</v>
      </c>
      <c r="F100" t="s">
        <v>353</v>
      </c>
      <c r="G100" t="s">
        <v>407</v>
      </c>
      <c r="H100" t="s">
        <v>404</v>
      </c>
      <c r="I100" t="s">
        <v>397</v>
      </c>
      <c r="J100" s="2" t="s">
        <v>398</v>
      </c>
      <c r="M100">
        <f>VLOOKUP(B100,'Unit Test'!A:J,10,FALSE)</f>
        <v>0</v>
      </c>
    </row>
    <row r="101" spans="1:13" ht="19.2" customHeight="1">
      <c r="A101" t="s">
        <v>105</v>
      </c>
      <c r="B101" t="s">
        <v>218</v>
      </c>
      <c r="C101" t="s">
        <v>331</v>
      </c>
      <c r="D101" t="s">
        <v>17</v>
      </c>
      <c r="E101" t="s">
        <v>347</v>
      </c>
      <c r="F101" t="s">
        <v>352</v>
      </c>
      <c r="G101" t="s">
        <v>407</v>
      </c>
      <c r="H101" t="s">
        <v>404</v>
      </c>
      <c r="I101" t="s">
        <v>375</v>
      </c>
      <c r="M101">
        <f>VLOOKUP(B101,'Unit Test'!A:J,10,FALSE)</f>
        <v>0</v>
      </c>
    </row>
    <row r="102" spans="1:13" ht="19.2" customHeight="1">
      <c r="A102" t="s">
        <v>106</v>
      </c>
      <c r="B102" t="s">
        <v>219</v>
      </c>
      <c r="C102" t="s">
        <v>332</v>
      </c>
      <c r="D102" t="s">
        <v>13</v>
      </c>
      <c r="E102" t="s">
        <v>349</v>
      </c>
      <c r="F102" t="s">
        <v>354</v>
      </c>
      <c r="G102" t="s">
        <v>407</v>
      </c>
      <c r="H102" t="s">
        <v>404</v>
      </c>
      <c r="I102" t="s">
        <v>397</v>
      </c>
      <c r="J102" s="2" t="s">
        <v>398</v>
      </c>
      <c r="M102">
        <f>VLOOKUP(B102,'Unit Test'!A:J,10,FALSE)</f>
        <v>0</v>
      </c>
    </row>
    <row r="103" spans="1:13" ht="19.2" customHeight="1">
      <c r="A103" t="s">
        <v>107</v>
      </c>
      <c r="B103" s="20" t="s">
        <v>220</v>
      </c>
      <c r="C103" t="s">
        <v>333</v>
      </c>
      <c r="D103" t="s">
        <v>19</v>
      </c>
      <c r="E103" t="s">
        <v>347</v>
      </c>
      <c r="F103" t="s">
        <v>352</v>
      </c>
      <c r="G103" t="s">
        <v>407</v>
      </c>
      <c r="H103" t="s">
        <v>404</v>
      </c>
      <c r="I103" t="s">
        <v>365</v>
      </c>
      <c r="J103" s="2" t="s">
        <v>364</v>
      </c>
      <c r="K103" s="10" t="s">
        <v>767</v>
      </c>
      <c r="L103" t="s">
        <v>849</v>
      </c>
      <c r="M103" t="str">
        <f>VLOOKUP(B103,'Unit Test'!A:J,10,FALSE)</f>
        <v>codex</v>
      </c>
    </row>
    <row r="104" spans="1:13" ht="19.2" customHeight="1">
      <c r="A104" t="s">
        <v>108</v>
      </c>
      <c r="B104" t="s">
        <v>221</v>
      </c>
      <c r="C104" t="s">
        <v>334</v>
      </c>
      <c r="D104" t="s">
        <v>17</v>
      </c>
      <c r="E104" t="s">
        <v>348</v>
      </c>
      <c r="F104" t="s">
        <v>353</v>
      </c>
      <c r="G104" t="s">
        <v>407</v>
      </c>
      <c r="H104" t="s">
        <v>404</v>
      </c>
      <c r="I104" t="s">
        <v>365</v>
      </c>
      <c r="L104" t="s">
        <v>404</v>
      </c>
      <c r="M104" t="str">
        <f>VLOOKUP(B104,'Unit Test'!A:J,10,FALSE)</f>
        <v>codex</v>
      </c>
    </row>
    <row r="105" spans="1:13" ht="19.2" customHeight="1">
      <c r="A105" t="s">
        <v>109</v>
      </c>
      <c r="B105" t="s">
        <v>222</v>
      </c>
      <c r="C105" t="s">
        <v>335</v>
      </c>
      <c r="D105" t="s">
        <v>13</v>
      </c>
      <c r="E105" t="s">
        <v>349</v>
      </c>
      <c r="F105" t="s">
        <v>354</v>
      </c>
      <c r="G105" t="s">
        <v>407</v>
      </c>
      <c r="H105" t="s">
        <v>404</v>
      </c>
      <c r="I105" t="s">
        <v>365</v>
      </c>
      <c r="L105" t="s">
        <v>404</v>
      </c>
      <c r="M105" t="str">
        <f>VLOOKUP(B105,'Unit Test'!A:J,10,FALSE)</f>
        <v>codex</v>
      </c>
    </row>
    <row r="106" spans="1:13" ht="19.2" customHeight="1">
      <c r="A106" t="s">
        <v>110</v>
      </c>
      <c r="B106" t="s">
        <v>223</v>
      </c>
      <c r="C106" t="s">
        <v>336</v>
      </c>
      <c r="D106" t="s">
        <v>17</v>
      </c>
      <c r="E106" t="s">
        <v>349</v>
      </c>
      <c r="F106" t="s">
        <v>352</v>
      </c>
      <c r="G106" t="s">
        <v>407</v>
      </c>
      <c r="H106" t="s">
        <v>404</v>
      </c>
      <c r="I106" s="15" t="s">
        <v>382</v>
      </c>
      <c r="K106" s="2" t="s">
        <v>804</v>
      </c>
      <c r="M106">
        <f>VLOOKUP(B106,'Unit Test'!A:J,10,FALSE)</f>
        <v>0</v>
      </c>
    </row>
    <row r="107" spans="1:13" ht="19.2" customHeight="1">
      <c r="A107" t="s">
        <v>111</v>
      </c>
      <c r="B107" t="s">
        <v>224</v>
      </c>
      <c r="C107" t="s">
        <v>337</v>
      </c>
      <c r="D107" t="s">
        <v>15</v>
      </c>
      <c r="E107" t="s">
        <v>349</v>
      </c>
      <c r="F107" t="s">
        <v>353</v>
      </c>
      <c r="G107" t="s">
        <v>407</v>
      </c>
      <c r="H107" t="s">
        <v>404</v>
      </c>
      <c r="I107" s="15" t="s">
        <v>382</v>
      </c>
      <c r="K107" t="s">
        <v>805</v>
      </c>
      <c r="L107" s="14" t="s">
        <v>807</v>
      </c>
      <c r="M107">
        <f>VLOOKUP(B107,'Unit Test'!A:J,10,FALSE)</f>
        <v>0</v>
      </c>
    </row>
    <row r="108" spans="1:13" ht="19.2" customHeight="1">
      <c r="A108" t="s">
        <v>112</v>
      </c>
      <c r="B108" t="s">
        <v>225</v>
      </c>
      <c r="C108" t="s">
        <v>338</v>
      </c>
      <c r="D108" t="s">
        <v>13</v>
      </c>
      <c r="E108" t="s">
        <v>350</v>
      </c>
      <c r="F108" t="s">
        <v>353</v>
      </c>
      <c r="G108" t="s">
        <v>407</v>
      </c>
      <c r="H108" t="s">
        <v>404</v>
      </c>
      <c r="I108" s="15" t="s">
        <v>382</v>
      </c>
      <c r="K108" s="2" t="s">
        <v>806</v>
      </c>
      <c r="M108">
        <f>VLOOKUP(B108,'Unit Test'!A:J,10,FALSE)</f>
        <v>0</v>
      </c>
    </row>
    <row r="109" spans="1:13" ht="19.2" customHeight="1">
      <c r="A109" t="s">
        <v>113</v>
      </c>
      <c r="B109" t="s">
        <v>226</v>
      </c>
      <c r="C109" t="s">
        <v>339</v>
      </c>
      <c r="D109" t="s">
        <v>15</v>
      </c>
      <c r="E109" t="s">
        <v>348</v>
      </c>
      <c r="F109" t="s">
        <v>352</v>
      </c>
      <c r="G109" t="s">
        <v>407</v>
      </c>
      <c r="H109" t="s">
        <v>404</v>
      </c>
      <c r="I109" t="s">
        <v>369</v>
      </c>
      <c r="J109" s="2" t="s">
        <v>368</v>
      </c>
      <c r="K109" t="s">
        <v>411</v>
      </c>
      <c r="M109" t="str">
        <f>VLOOKUP(B109,'Unit Test'!A:J,10,FALSE)</f>
        <v>claude</v>
      </c>
    </row>
    <row r="110" spans="1:13" ht="19.2" customHeight="1">
      <c r="A110" t="s">
        <v>114</v>
      </c>
      <c r="B110" t="s">
        <v>227</v>
      </c>
      <c r="C110" t="s">
        <v>340</v>
      </c>
      <c r="D110" t="s">
        <v>13</v>
      </c>
      <c r="E110" t="s">
        <v>348</v>
      </c>
      <c r="F110" t="s">
        <v>352</v>
      </c>
      <c r="G110" t="s">
        <v>407</v>
      </c>
      <c r="H110" t="s">
        <v>404</v>
      </c>
      <c r="I110" t="s">
        <v>369</v>
      </c>
      <c r="J110" s="2" t="s">
        <v>368</v>
      </c>
      <c r="K110" t="s">
        <v>411</v>
      </c>
      <c r="M110">
        <f>VLOOKUP(B110,'Unit Test'!A:J,10,FALSE)</f>
        <v>0</v>
      </c>
    </row>
    <row r="111" spans="1:13" ht="19.2" customHeight="1">
      <c r="A111" t="s">
        <v>115</v>
      </c>
      <c r="B111" t="s">
        <v>228</v>
      </c>
      <c r="C111" t="s">
        <v>341</v>
      </c>
      <c r="D111" t="s">
        <v>13</v>
      </c>
      <c r="E111" t="s">
        <v>350</v>
      </c>
      <c r="F111" t="s">
        <v>353</v>
      </c>
      <c r="G111" t="s">
        <v>407</v>
      </c>
      <c r="H111" t="s">
        <v>404</v>
      </c>
      <c r="I111" t="s">
        <v>393</v>
      </c>
      <c r="J111" s="2" t="s">
        <v>394</v>
      </c>
      <c r="K111" s="2" t="s">
        <v>800</v>
      </c>
      <c r="M111">
        <f>VLOOKUP(B111,'Unit Test'!A:J,10,FALSE)</f>
        <v>0</v>
      </c>
    </row>
    <row r="112" spans="1:13" ht="19.2" customHeight="1">
      <c r="A112" t="s">
        <v>116</v>
      </c>
      <c r="B112" t="s">
        <v>229</v>
      </c>
      <c r="C112" t="s">
        <v>342</v>
      </c>
      <c r="D112" t="s">
        <v>13</v>
      </c>
      <c r="E112" t="s">
        <v>350</v>
      </c>
      <c r="F112" t="s">
        <v>353</v>
      </c>
      <c r="G112" t="s">
        <v>407</v>
      </c>
      <c r="H112" t="s">
        <v>404</v>
      </c>
      <c r="I112" t="s">
        <v>393</v>
      </c>
      <c r="M112">
        <f>VLOOKUP(B112,'Unit Test'!A:J,10,FALSE)</f>
        <v>0</v>
      </c>
    </row>
    <row r="113" spans="1:13" ht="19.2" customHeight="1">
      <c r="A113" t="s">
        <v>117</v>
      </c>
      <c r="B113" t="s">
        <v>230</v>
      </c>
      <c r="C113" t="s">
        <v>343</v>
      </c>
      <c r="D113" t="s">
        <v>13</v>
      </c>
      <c r="E113" t="s">
        <v>350</v>
      </c>
      <c r="F113" t="s">
        <v>353</v>
      </c>
      <c r="G113" t="s">
        <v>407</v>
      </c>
      <c r="H113" t="s">
        <v>404</v>
      </c>
      <c r="I113" t="s">
        <v>393</v>
      </c>
      <c r="M113">
        <f>VLOOKUP(B113,'Unit Test'!A:J,10,FALSE)</f>
        <v>0</v>
      </c>
    </row>
    <row r="114" spans="1:13" ht="19.2" customHeight="1">
      <c r="A114" t="s">
        <v>118</v>
      </c>
      <c r="B114" t="s">
        <v>231</v>
      </c>
      <c r="C114" t="s">
        <v>344</v>
      </c>
      <c r="D114" t="s">
        <v>11</v>
      </c>
      <c r="E114" t="s">
        <v>351</v>
      </c>
      <c r="F114" t="s">
        <v>354</v>
      </c>
      <c r="G114" t="s">
        <v>407</v>
      </c>
      <c r="H114" t="s">
        <v>404</v>
      </c>
      <c r="I114" s="15" t="s">
        <v>382</v>
      </c>
      <c r="K114" s="2" t="s">
        <v>808</v>
      </c>
      <c r="M114">
        <f>VLOOKUP(B114,'Unit Test'!A:J,10,FALSE)</f>
        <v>0</v>
      </c>
    </row>
  </sheetData>
  <autoFilter ref="A1:J114" xr:uid="{00000000-0001-0000-0000-000000000000}">
    <sortState xmlns:xlrd2="http://schemas.microsoft.com/office/spreadsheetml/2017/richdata2" ref="A81:J98">
      <sortCondition ref="B1:B114"/>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B3911-F8E7-4083-974C-8215A8CA05BB}">
  <dimension ref="A4:B10"/>
  <sheetViews>
    <sheetView workbookViewId="0">
      <selection activeCell="B4" sqref="A4:B4"/>
    </sheetView>
  </sheetViews>
  <sheetFormatPr baseColWidth="10" defaultRowHeight="14.4"/>
  <cols>
    <col min="2" max="2" width="112.6640625" customWidth="1"/>
  </cols>
  <sheetData>
    <row r="4" spans="1:2" ht="244.8">
      <c r="A4" t="s">
        <v>400</v>
      </c>
      <c r="B4" s="2" t="s">
        <v>367</v>
      </c>
    </row>
    <row r="10" spans="1:2" ht="409.6">
      <c r="A10" t="s">
        <v>401</v>
      </c>
      <c r="B10" s="2" t="s">
        <v>399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EA767-FEF3-4D23-9143-13AEAC680DA5}">
  <dimension ref="A1:Q404"/>
  <sheetViews>
    <sheetView zoomScale="85" zoomScaleNormal="85" workbookViewId="0">
      <pane ySplit="1" topLeftCell="A2" activePane="bottomLeft" state="frozen"/>
      <selection pane="bottomLeft" activeCell="L7" sqref="L7"/>
    </sheetView>
  </sheetViews>
  <sheetFormatPr baseColWidth="10" defaultRowHeight="14.4"/>
  <cols>
    <col min="1" max="1" width="28.6640625" customWidth="1"/>
    <col min="2" max="2" width="29.88671875" customWidth="1"/>
    <col min="3" max="3" width="29.109375" hidden="1" customWidth="1"/>
    <col min="4" max="4" width="11.5546875" hidden="1" customWidth="1"/>
    <col min="5" max="5" width="17.6640625" hidden="1" customWidth="1"/>
    <col min="6" max="6" width="50.5546875" customWidth="1"/>
    <col min="7" max="8" width="11.5546875" hidden="1" customWidth="1"/>
    <col min="9" max="9" width="39.5546875" hidden="1" customWidth="1"/>
    <col min="10" max="10" width="39.5546875" customWidth="1"/>
    <col min="11" max="11" width="18.5546875" bestFit="1" customWidth="1"/>
    <col min="17" max="17" width="18.5546875" bestFit="1" customWidth="1"/>
  </cols>
  <sheetData>
    <row r="1" spans="1:11" ht="16.2" thickBot="1">
      <c r="A1" s="4" t="s">
        <v>760</v>
      </c>
      <c r="B1" s="4" t="s">
        <v>418</v>
      </c>
      <c r="C1" s="4" t="s">
        <v>419</v>
      </c>
      <c r="D1" s="4"/>
      <c r="E1" s="4"/>
      <c r="F1" s="5" t="s">
        <v>761</v>
      </c>
      <c r="G1" s="11" t="s">
        <v>770</v>
      </c>
      <c r="H1" s="11" t="s">
        <v>402</v>
      </c>
      <c r="I1" s="11" t="s">
        <v>775</v>
      </c>
      <c r="J1" s="11" t="s">
        <v>848</v>
      </c>
      <c r="K1" s="11" t="s">
        <v>848</v>
      </c>
    </row>
    <row r="2" spans="1:11" ht="31.2" thickBot="1">
      <c r="A2" s="6" t="s">
        <v>119</v>
      </c>
      <c r="B2" s="6" t="s">
        <v>420</v>
      </c>
      <c r="C2" s="6" t="s">
        <v>421</v>
      </c>
      <c r="D2" s="6"/>
      <c r="E2" s="7"/>
      <c r="F2" s="8" t="s">
        <v>422</v>
      </c>
      <c r="G2" s="12" t="s">
        <v>771</v>
      </c>
      <c r="H2" s="12" t="s">
        <v>407</v>
      </c>
      <c r="I2" t="s">
        <v>774</v>
      </c>
      <c r="J2" t="s">
        <v>404</v>
      </c>
      <c r="K2" t="s">
        <v>404</v>
      </c>
    </row>
    <row r="3" spans="1:11" ht="31.2" thickBot="1">
      <c r="A3" s="6" t="s">
        <v>119</v>
      </c>
      <c r="B3" s="6" t="s">
        <v>420</v>
      </c>
      <c r="C3" s="6" t="s">
        <v>423</v>
      </c>
      <c r="D3" s="6"/>
      <c r="E3" s="7"/>
      <c r="F3" s="8" t="s">
        <v>422</v>
      </c>
      <c r="G3" s="12" t="s">
        <v>771</v>
      </c>
      <c r="H3" s="12" t="s">
        <v>407</v>
      </c>
      <c r="I3" t="s">
        <v>774</v>
      </c>
      <c r="J3" t="s">
        <v>404</v>
      </c>
    </row>
    <row r="4" spans="1:11" ht="31.2" thickBot="1">
      <c r="A4" s="6" t="s">
        <v>119</v>
      </c>
      <c r="B4" s="6" t="s">
        <v>420</v>
      </c>
      <c r="C4" s="6" t="s">
        <v>424</v>
      </c>
      <c r="D4" s="6"/>
      <c r="E4" s="7"/>
      <c r="F4" s="8" t="s">
        <v>422</v>
      </c>
      <c r="G4" s="12" t="s">
        <v>771</v>
      </c>
      <c r="H4" s="12" t="s">
        <v>407</v>
      </c>
      <c r="I4" t="s">
        <v>774</v>
      </c>
      <c r="J4" t="s">
        <v>404</v>
      </c>
    </row>
    <row r="5" spans="1:11" ht="46.2" thickBot="1">
      <c r="A5" s="6" t="s">
        <v>119</v>
      </c>
      <c r="B5" s="6" t="s">
        <v>420</v>
      </c>
      <c r="C5" s="6" t="s">
        <v>425</v>
      </c>
      <c r="D5" s="6"/>
      <c r="E5" s="7"/>
      <c r="F5" s="8" t="s">
        <v>422</v>
      </c>
      <c r="G5" s="12" t="s">
        <v>771</v>
      </c>
      <c r="H5" s="12" t="s">
        <v>407</v>
      </c>
      <c r="I5" t="s">
        <v>774</v>
      </c>
      <c r="J5" t="s">
        <v>404</v>
      </c>
    </row>
    <row r="6" spans="1:11" ht="31.2" thickBot="1">
      <c r="A6" s="6" t="s">
        <v>119</v>
      </c>
      <c r="B6" s="6" t="s">
        <v>420</v>
      </c>
      <c r="C6" s="6" t="s">
        <v>426</v>
      </c>
      <c r="D6" s="6"/>
      <c r="E6" s="7"/>
      <c r="F6" s="8" t="s">
        <v>422</v>
      </c>
      <c r="G6" s="12" t="s">
        <v>771</v>
      </c>
      <c r="H6" s="12" t="s">
        <v>407</v>
      </c>
      <c r="I6" t="s">
        <v>774</v>
      </c>
      <c r="J6" t="s">
        <v>404</v>
      </c>
    </row>
    <row r="7" spans="1:11" ht="31.2" thickBot="1">
      <c r="A7" s="6" t="s">
        <v>119</v>
      </c>
      <c r="B7" s="6" t="s">
        <v>420</v>
      </c>
      <c r="C7" s="6" t="s">
        <v>427</v>
      </c>
      <c r="D7" s="6"/>
      <c r="E7" s="7"/>
      <c r="F7" s="8" t="s">
        <v>422</v>
      </c>
      <c r="G7" s="12" t="s">
        <v>771</v>
      </c>
      <c r="H7" s="12" t="s">
        <v>407</v>
      </c>
      <c r="I7" t="s">
        <v>774</v>
      </c>
      <c r="J7" t="s">
        <v>404</v>
      </c>
    </row>
    <row r="8" spans="1:11" ht="31.2" thickBot="1">
      <c r="A8" s="6" t="s">
        <v>119</v>
      </c>
      <c r="B8" s="6" t="s">
        <v>420</v>
      </c>
      <c r="C8" s="6" t="s">
        <v>428</v>
      </c>
      <c r="D8" s="6"/>
      <c r="E8" s="7"/>
      <c r="F8" s="8" t="s">
        <v>422</v>
      </c>
      <c r="G8" s="12" t="s">
        <v>771</v>
      </c>
      <c r="H8" s="12" t="s">
        <v>407</v>
      </c>
      <c r="I8" t="s">
        <v>774</v>
      </c>
      <c r="J8" t="s">
        <v>404</v>
      </c>
    </row>
    <row r="9" spans="1:11" ht="31.2" thickBot="1">
      <c r="A9" s="6" t="s">
        <v>119</v>
      </c>
      <c r="B9" s="6" t="s">
        <v>420</v>
      </c>
      <c r="C9" s="6" t="s">
        <v>429</v>
      </c>
      <c r="D9" s="6"/>
      <c r="E9" s="7"/>
      <c r="F9" s="8" t="s">
        <v>422</v>
      </c>
      <c r="G9" s="12" t="s">
        <v>771</v>
      </c>
      <c r="H9" s="12" t="s">
        <v>407</v>
      </c>
      <c r="I9" t="s">
        <v>774</v>
      </c>
      <c r="J9" t="s">
        <v>404</v>
      </c>
    </row>
    <row r="10" spans="1:11" ht="31.2" thickBot="1">
      <c r="A10" s="6" t="s">
        <v>119</v>
      </c>
      <c r="B10" s="6" t="s">
        <v>420</v>
      </c>
      <c r="C10" s="6" t="s">
        <v>430</v>
      </c>
      <c r="D10" s="6"/>
      <c r="E10" s="7"/>
      <c r="F10" s="8" t="s">
        <v>422</v>
      </c>
      <c r="G10" s="12" t="s">
        <v>771</v>
      </c>
      <c r="H10" s="12" t="s">
        <v>407</v>
      </c>
      <c r="I10" t="s">
        <v>774</v>
      </c>
      <c r="J10" t="s">
        <v>404</v>
      </c>
    </row>
    <row r="11" spans="1:11" ht="31.2" thickBot="1">
      <c r="A11" s="6" t="s">
        <v>119</v>
      </c>
      <c r="B11" s="6" t="s">
        <v>420</v>
      </c>
      <c r="C11" s="6" t="s">
        <v>431</v>
      </c>
      <c r="D11" s="6"/>
      <c r="E11" s="7"/>
      <c r="F11" s="8" t="s">
        <v>422</v>
      </c>
      <c r="G11" s="12" t="s">
        <v>771</v>
      </c>
      <c r="H11" s="12" t="s">
        <v>407</v>
      </c>
      <c r="I11" t="s">
        <v>774</v>
      </c>
      <c r="J11" t="s">
        <v>404</v>
      </c>
    </row>
    <row r="12" spans="1:11" ht="31.2" thickBot="1">
      <c r="A12" s="6" t="s">
        <v>119</v>
      </c>
      <c r="B12" s="6" t="s">
        <v>420</v>
      </c>
      <c r="C12" s="6" t="s">
        <v>432</v>
      </c>
      <c r="D12" s="6"/>
      <c r="E12" s="7"/>
      <c r="F12" s="8" t="s">
        <v>422</v>
      </c>
      <c r="G12" s="12" t="s">
        <v>771</v>
      </c>
      <c r="H12" s="12" t="s">
        <v>407</v>
      </c>
      <c r="I12" t="s">
        <v>774</v>
      </c>
      <c r="J12" t="s">
        <v>404</v>
      </c>
    </row>
    <row r="13" spans="1:11" ht="31.2" thickBot="1">
      <c r="A13" s="6" t="s">
        <v>119</v>
      </c>
      <c r="B13" s="6" t="s">
        <v>420</v>
      </c>
      <c r="C13" s="6" t="s">
        <v>433</v>
      </c>
      <c r="D13" s="6"/>
      <c r="E13" s="7"/>
      <c r="F13" s="8" t="s">
        <v>422</v>
      </c>
      <c r="G13" s="12" t="s">
        <v>771</v>
      </c>
      <c r="H13" s="12" t="s">
        <v>407</v>
      </c>
      <c r="I13" t="s">
        <v>774</v>
      </c>
      <c r="J13" t="s">
        <v>404</v>
      </c>
    </row>
    <row r="14" spans="1:11" ht="31.2" thickBot="1">
      <c r="A14" s="6" t="s">
        <v>119</v>
      </c>
      <c r="B14" s="6" t="s">
        <v>420</v>
      </c>
      <c r="C14" s="6" t="s">
        <v>434</v>
      </c>
      <c r="D14" s="6"/>
      <c r="E14" s="7"/>
      <c r="F14" s="8" t="s">
        <v>422</v>
      </c>
      <c r="G14" s="12" t="s">
        <v>771</v>
      </c>
      <c r="H14" s="12" t="s">
        <v>407</v>
      </c>
      <c r="I14" t="s">
        <v>774</v>
      </c>
      <c r="J14" t="s">
        <v>404</v>
      </c>
    </row>
    <row r="15" spans="1:11" ht="31.2" thickBot="1">
      <c r="A15" s="6" t="s">
        <v>119</v>
      </c>
      <c r="B15" s="6" t="s">
        <v>420</v>
      </c>
      <c r="C15" s="6" t="s">
        <v>435</v>
      </c>
      <c r="D15" s="6"/>
      <c r="E15" s="7"/>
      <c r="F15" s="8" t="s">
        <v>422</v>
      </c>
      <c r="G15" s="12" t="s">
        <v>771</v>
      </c>
      <c r="H15" s="12" t="s">
        <v>407</v>
      </c>
      <c r="I15" t="s">
        <v>774</v>
      </c>
      <c r="J15" t="s">
        <v>404</v>
      </c>
    </row>
    <row r="16" spans="1:11" ht="31.2" thickBot="1">
      <c r="A16" s="6" t="s">
        <v>119</v>
      </c>
      <c r="B16" s="6" t="s">
        <v>420</v>
      </c>
      <c r="C16" s="6" t="s">
        <v>436</v>
      </c>
      <c r="D16" s="6"/>
      <c r="E16" s="7"/>
      <c r="F16" s="8" t="s">
        <v>422</v>
      </c>
      <c r="G16" s="12" t="s">
        <v>771</v>
      </c>
      <c r="H16" s="12" t="s">
        <v>407</v>
      </c>
      <c r="I16" t="s">
        <v>774</v>
      </c>
      <c r="J16" t="s">
        <v>404</v>
      </c>
    </row>
    <row r="17" spans="1:17" ht="31.2" thickBot="1">
      <c r="A17" s="6" t="s">
        <v>119</v>
      </c>
      <c r="B17" s="6" t="s">
        <v>420</v>
      </c>
      <c r="C17" s="6" t="s">
        <v>437</v>
      </c>
      <c r="D17" s="6"/>
      <c r="E17" s="7"/>
      <c r="F17" s="8" t="s">
        <v>422</v>
      </c>
      <c r="G17" s="12" t="s">
        <v>771</v>
      </c>
      <c r="H17" s="12" t="s">
        <v>407</v>
      </c>
      <c r="I17" t="s">
        <v>774</v>
      </c>
      <c r="J17" t="s">
        <v>404</v>
      </c>
    </row>
    <row r="18" spans="1:17" ht="31.2" thickBot="1">
      <c r="A18" s="6" t="s">
        <v>119</v>
      </c>
      <c r="B18" s="6" t="s">
        <v>420</v>
      </c>
      <c r="C18" s="6" t="s">
        <v>438</v>
      </c>
      <c r="D18" s="6"/>
      <c r="E18" s="7"/>
      <c r="F18" s="8" t="s">
        <v>422</v>
      </c>
      <c r="G18" s="12" t="s">
        <v>771</v>
      </c>
      <c r="H18" s="12" t="s">
        <v>407</v>
      </c>
      <c r="I18" t="s">
        <v>774</v>
      </c>
      <c r="J18" t="s">
        <v>404</v>
      </c>
    </row>
    <row r="19" spans="1:17" ht="31.2" thickBot="1">
      <c r="A19" s="6" t="s">
        <v>119</v>
      </c>
      <c r="B19" s="6" t="s">
        <v>420</v>
      </c>
      <c r="C19" s="6" t="s">
        <v>439</v>
      </c>
      <c r="D19" s="6"/>
      <c r="E19" s="7"/>
      <c r="F19" s="8" t="s">
        <v>422</v>
      </c>
      <c r="G19" s="12" t="s">
        <v>771</v>
      </c>
      <c r="H19" s="12" t="s">
        <v>407</v>
      </c>
      <c r="I19" t="s">
        <v>774</v>
      </c>
      <c r="J19" t="s">
        <v>404</v>
      </c>
    </row>
    <row r="20" spans="1:17" ht="31.2" thickBot="1">
      <c r="A20" s="6" t="s">
        <v>119</v>
      </c>
      <c r="B20" s="6" t="s">
        <v>420</v>
      </c>
      <c r="C20" s="6" t="s">
        <v>440</v>
      </c>
      <c r="D20" s="6"/>
      <c r="E20" s="7"/>
      <c r="F20" s="8" t="s">
        <v>422</v>
      </c>
      <c r="G20" s="12" t="s">
        <v>771</v>
      </c>
      <c r="H20" s="12" t="s">
        <v>407</v>
      </c>
      <c r="I20" t="s">
        <v>774</v>
      </c>
      <c r="J20" t="s">
        <v>404</v>
      </c>
    </row>
    <row r="21" spans="1:17" ht="31.2" thickBot="1">
      <c r="A21" s="6" t="s">
        <v>119</v>
      </c>
      <c r="B21" s="6" t="s">
        <v>420</v>
      </c>
      <c r="C21" s="6" t="s">
        <v>441</v>
      </c>
      <c r="D21" s="6"/>
      <c r="E21" s="7"/>
      <c r="F21" s="8" t="s">
        <v>422</v>
      </c>
      <c r="G21" s="12" t="s">
        <v>771</v>
      </c>
      <c r="H21" s="12" t="s">
        <v>407</v>
      </c>
      <c r="I21" t="s">
        <v>774</v>
      </c>
      <c r="J21" t="s">
        <v>404</v>
      </c>
    </row>
    <row r="22" spans="1:17" ht="31.2" thickBot="1">
      <c r="A22" s="6" t="s">
        <v>119</v>
      </c>
      <c r="B22" s="6" t="s">
        <v>420</v>
      </c>
      <c r="C22" s="6" t="s">
        <v>442</v>
      </c>
      <c r="D22" s="6"/>
      <c r="E22" s="7"/>
      <c r="F22" s="8" t="s">
        <v>422</v>
      </c>
      <c r="G22" s="12" t="s">
        <v>771</v>
      </c>
      <c r="H22" s="12" t="s">
        <v>407</v>
      </c>
      <c r="I22" t="s">
        <v>774</v>
      </c>
      <c r="J22" t="s">
        <v>404</v>
      </c>
    </row>
    <row r="23" spans="1:17" ht="31.2" thickBot="1">
      <c r="A23" s="6" t="s">
        <v>119</v>
      </c>
      <c r="B23" s="6" t="s">
        <v>420</v>
      </c>
      <c r="C23" s="6" t="s">
        <v>443</v>
      </c>
      <c r="D23" s="6"/>
      <c r="E23" s="7"/>
      <c r="F23" s="8" t="s">
        <v>422</v>
      </c>
      <c r="G23" s="12" t="s">
        <v>771</v>
      </c>
      <c r="H23" s="12" t="s">
        <v>407</v>
      </c>
      <c r="I23" t="s">
        <v>774</v>
      </c>
      <c r="J23" t="s">
        <v>404</v>
      </c>
    </row>
    <row r="24" spans="1:17" ht="31.2" thickBot="1">
      <c r="A24" s="6" t="s">
        <v>120</v>
      </c>
      <c r="B24" s="6" t="s">
        <v>420</v>
      </c>
      <c r="C24" s="6" t="s">
        <v>444</v>
      </c>
      <c r="D24" s="6"/>
      <c r="E24" s="7"/>
      <c r="F24" s="8" t="s">
        <v>445</v>
      </c>
      <c r="G24" s="12" t="s">
        <v>771</v>
      </c>
      <c r="H24" s="12" t="s">
        <v>407</v>
      </c>
      <c r="I24" t="s">
        <v>774</v>
      </c>
      <c r="J24" t="s">
        <v>404</v>
      </c>
      <c r="K24" t="str">
        <f>CONCATENATE(A24,C24)</f>
        <v>TS-UC-SEC-MCP-002test_001_request_under_limit_allowed</v>
      </c>
      <c r="Q24" t="s">
        <v>776</v>
      </c>
    </row>
    <row r="25" spans="1:17" ht="31.2" thickBot="1">
      <c r="A25" s="6" t="s">
        <v>120</v>
      </c>
      <c r="B25" s="6" t="s">
        <v>420</v>
      </c>
      <c r="C25" s="6" t="s">
        <v>446</v>
      </c>
      <c r="D25" s="6"/>
      <c r="E25" s="7"/>
      <c r="F25" s="8" t="s">
        <v>445</v>
      </c>
      <c r="G25" s="12" t="s">
        <v>771</v>
      </c>
      <c r="H25" s="12" t="s">
        <v>407</v>
      </c>
      <c r="I25" t="s">
        <v>774</v>
      </c>
      <c r="J25" t="s">
        <v>404</v>
      </c>
      <c r="K25" t="str">
        <f t="shared" ref="K25:K88" si="0">CONCATENATE(A25,C25)</f>
        <v>TS-UC-SEC-MCP-002test_002_request_at_limit_59_allowed</v>
      </c>
      <c r="Q25" t="s">
        <v>777</v>
      </c>
    </row>
    <row r="26" spans="1:17" ht="31.2" thickBot="1">
      <c r="A26" s="6" t="s">
        <v>120</v>
      </c>
      <c r="B26" s="6" t="s">
        <v>420</v>
      </c>
      <c r="C26" s="6" t="s">
        <v>447</v>
      </c>
      <c r="D26" s="6"/>
      <c r="E26" s="7"/>
      <c r="F26" s="8" t="s">
        <v>445</v>
      </c>
      <c r="G26" s="12" t="s">
        <v>771</v>
      </c>
      <c r="H26" s="12" t="s">
        <v>407</v>
      </c>
      <c r="I26" t="s">
        <v>774</v>
      </c>
      <c r="J26" t="s">
        <v>404</v>
      </c>
      <c r="K26" t="str">
        <f t="shared" si="0"/>
        <v>TS-UC-SEC-MCP-002test_003_request_at_limit_60_allowed</v>
      </c>
      <c r="Q26" t="s">
        <v>778</v>
      </c>
    </row>
    <row r="27" spans="1:17" ht="31.2" thickBot="1">
      <c r="A27" s="6" t="s">
        <v>120</v>
      </c>
      <c r="B27" s="6" t="s">
        <v>420</v>
      </c>
      <c r="C27" s="6" t="s">
        <v>448</v>
      </c>
      <c r="D27" s="6"/>
      <c r="E27" s="7"/>
      <c r="F27" s="8" t="s">
        <v>445</v>
      </c>
      <c r="G27" s="12" t="s">
        <v>771</v>
      </c>
      <c r="H27" s="12" t="s">
        <v>407</v>
      </c>
      <c r="I27" t="s">
        <v>774</v>
      </c>
      <c r="J27" t="s">
        <v>404</v>
      </c>
      <c r="K27" t="str">
        <f t="shared" si="0"/>
        <v>TS-UC-SEC-MCP-002test_004_request_over_limit_61_blocked</v>
      </c>
      <c r="Q27" t="s">
        <v>779</v>
      </c>
    </row>
    <row r="28" spans="1:17" ht="31.2" thickBot="1">
      <c r="A28" s="6" t="s">
        <v>120</v>
      </c>
      <c r="B28" s="6" t="s">
        <v>420</v>
      </c>
      <c r="C28" s="6" t="s">
        <v>449</v>
      </c>
      <c r="D28" s="6"/>
      <c r="E28" s="7"/>
      <c r="F28" s="8" t="s">
        <v>445</v>
      </c>
      <c r="G28" s="12" t="s">
        <v>771</v>
      </c>
      <c r="H28" s="12" t="s">
        <v>407</v>
      </c>
      <c r="I28" t="s">
        <v>774</v>
      </c>
      <c r="J28" t="s">
        <v>404</v>
      </c>
      <c r="K28" t="str">
        <f t="shared" si="0"/>
        <v>TS-UC-SEC-MCP-002test_005_request_over_limit_100_blocked</v>
      </c>
      <c r="Q28" t="s">
        <v>780</v>
      </c>
    </row>
    <row r="29" spans="1:17" ht="31.2" thickBot="1">
      <c r="A29" s="6" t="s">
        <v>120</v>
      </c>
      <c r="B29" s="6" t="s">
        <v>420</v>
      </c>
      <c r="C29" s="6" t="s">
        <v>450</v>
      </c>
      <c r="D29" s="6"/>
      <c r="E29" s="7"/>
      <c r="F29" s="8" t="s">
        <v>445</v>
      </c>
      <c r="G29" s="12" t="s">
        <v>771</v>
      </c>
      <c r="H29" s="12" t="s">
        <v>407</v>
      </c>
      <c r="I29" t="s">
        <v>774</v>
      </c>
      <c r="J29" t="s">
        <v>404</v>
      </c>
      <c r="K29" t="str">
        <f t="shared" si="0"/>
        <v>TS-UC-SEC-MCP-002test_006_window_reset_after_60_seconds</v>
      </c>
      <c r="Q29" t="s">
        <v>781</v>
      </c>
    </row>
    <row r="30" spans="1:17" ht="31.2" thickBot="1">
      <c r="A30" s="6" t="s">
        <v>120</v>
      </c>
      <c r="B30" s="6" t="s">
        <v>420</v>
      </c>
      <c r="C30" s="6" t="s">
        <v>451</v>
      </c>
      <c r="D30" s="6"/>
      <c r="E30" s="7"/>
      <c r="F30" s="8" t="s">
        <v>445</v>
      </c>
      <c r="G30" s="12" t="s">
        <v>771</v>
      </c>
      <c r="H30" s="12" t="s">
        <v>407</v>
      </c>
      <c r="I30" t="s">
        <v>774</v>
      </c>
      <c r="J30" t="s">
        <v>404</v>
      </c>
      <c r="K30" t="str">
        <f t="shared" si="0"/>
        <v>TS-UC-SEC-MCP-002test_007_tenant_isolation_separate_counters</v>
      </c>
      <c r="Q30" t="s">
        <v>782</v>
      </c>
    </row>
    <row r="31" spans="1:17" ht="31.2" thickBot="1">
      <c r="A31" s="6" t="s">
        <v>120</v>
      </c>
      <c r="B31" s="6" t="s">
        <v>420</v>
      </c>
      <c r="C31" s="6" t="s">
        <v>452</v>
      </c>
      <c r="D31" s="6"/>
      <c r="E31" s="7"/>
      <c r="F31" s="8" t="s">
        <v>445</v>
      </c>
      <c r="G31" s="12" t="s">
        <v>771</v>
      </c>
      <c r="H31" s="12" t="s">
        <v>407</v>
      </c>
      <c r="I31" t="s">
        <v>774</v>
      </c>
      <c r="J31" t="s">
        <v>404</v>
      </c>
      <c r="K31" t="str">
        <f t="shared" si="0"/>
        <v>TS-UC-SEC-MCP-002test_008_tenant_a_full_tenant_b_available</v>
      </c>
      <c r="Q31" t="s">
        <v>783</v>
      </c>
    </row>
    <row r="32" spans="1:17" ht="31.2" thickBot="1">
      <c r="A32" s="6" t="s">
        <v>120</v>
      </c>
      <c r="B32" s="6" t="s">
        <v>420</v>
      </c>
      <c r="C32" s="6" t="s">
        <v>453</v>
      </c>
      <c r="D32" s="6"/>
      <c r="E32" s="7"/>
      <c r="F32" s="8" t="s">
        <v>445</v>
      </c>
      <c r="G32" s="12" t="s">
        <v>771</v>
      </c>
      <c r="H32" s="12" t="s">
        <v>407</v>
      </c>
      <c r="I32" t="s">
        <v>774</v>
      </c>
      <c r="J32" t="s">
        <v>404</v>
      </c>
      <c r="K32" t="str">
        <f t="shared" si="0"/>
        <v>TS-UC-SEC-MCP-002test_009_sliding_window_calculation</v>
      </c>
      <c r="Q32" t="s">
        <v>784</v>
      </c>
    </row>
    <row r="33" spans="1:17" ht="31.2" thickBot="1">
      <c r="A33" s="6" t="s">
        <v>120</v>
      </c>
      <c r="B33" s="6" t="s">
        <v>420</v>
      </c>
      <c r="C33" s="6" t="s">
        <v>454</v>
      </c>
      <c r="D33" s="6"/>
      <c r="E33" s="7"/>
      <c r="F33" s="8" t="s">
        <v>445</v>
      </c>
      <c r="G33" s="12" t="s">
        <v>771</v>
      </c>
      <c r="H33" s="12" t="s">
        <v>407</v>
      </c>
      <c r="I33" t="s">
        <v>774</v>
      </c>
      <c r="J33" t="s">
        <v>404</v>
      </c>
      <c r="K33" t="str">
        <f t="shared" si="0"/>
        <v>TS-UC-SEC-MCP-002test_010_rate_limit_result_retry_after_header</v>
      </c>
      <c r="Q33" t="s">
        <v>785</v>
      </c>
    </row>
    <row r="34" spans="1:17" ht="31.2" thickBot="1">
      <c r="A34" s="6" t="s">
        <v>120</v>
      </c>
      <c r="B34" s="6" t="s">
        <v>420</v>
      </c>
      <c r="C34" s="6" t="s">
        <v>455</v>
      </c>
      <c r="D34" s="6"/>
      <c r="E34" s="7"/>
      <c r="F34" s="8" t="s">
        <v>445</v>
      </c>
      <c r="G34" s="12" t="s">
        <v>771</v>
      </c>
      <c r="H34" s="12" t="s">
        <v>407</v>
      </c>
      <c r="I34" t="s">
        <v>774</v>
      </c>
      <c r="J34" t="s">
        <v>404</v>
      </c>
      <c r="K34" t="str">
        <f t="shared" si="0"/>
        <v>TS-UC-SEC-MCP-002test_011_rate_limit_audit_log_on_block</v>
      </c>
      <c r="Q34" t="s">
        <v>786</v>
      </c>
    </row>
    <row r="35" spans="1:17" ht="31.2" thickBot="1">
      <c r="A35" s="6" t="s">
        <v>120</v>
      </c>
      <c r="B35" s="6" t="s">
        <v>420</v>
      </c>
      <c r="C35" s="6" t="s">
        <v>456</v>
      </c>
      <c r="D35" s="6"/>
      <c r="E35" s="7"/>
      <c r="F35" s="8" t="s">
        <v>445</v>
      </c>
      <c r="G35" s="12" t="s">
        <v>771</v>
      </c>
      <c r="H35" s="12" t="s">
        <v>407</v>
      </c>
      <c r="I35" t="s">
        <v>774</v>
      </c>
      <c r="J35" t="s">
        <v>404</v>
      </c>
      <c r="K35" t="str">
        <f t="shared" si="0"/>
        <v>TS-UC-SEC-MCP-002test_012_rate_limit_warning_at_80_percent</v>
      </c>
      <c r="Q35" t="s">
        <v>787</v>
      </c>
    </row>
    <row r="36" spans="1:17" ht="31.2" thickBot="1">
      <c r="A36" s="6" t="s">
        <v>120</v>
      </c>
      <c r="B36" s="6" t="s">
        <v>420</v>
      </c>
      <c r="C36" s="6" t="s">
        <v>457</v>
      </c>
      <c r="D36" s="6"/>
      <c r="E36" s="7"/>
      <c r="F36" s="8" t="s">
        <v>445</v>
      </c>
      <c r="G36" s="12" t="s">
        <v>771</v>
      </c>
      <c r="H36" s="12" t="s">
        <v>407</v>
      </c>
      <c r="I36" t="s">
        <v>774</v>
      </c>
      <c r="J36" t="s">
        <v>404</v>
      </c>
      <c r="K36" t="str">
        <f t="shared" si="0"/>
        <v>TS-UC-SEC-MCP-002test_013_concurrent_requests_race_condition</v>
      </c>
      <c r="Q36" t="s">
        <v>788</v>
      </c>
    </row>
    <row r="37" spans="1:17" ht="31.2" thickBot="1">
      <c r="A37" s="6" t="s">
        <v>120</v>
      </c>
      <c r="B37" s="6" t="s">
        <v>420</v>
      </c>
      <c r="C37" s="6" t="s">
        <v>458</v>
      </c>
      <c r="D37" s="6"/>
      <c r="E37" s="7"/>
      <c r="F37" s="8" t="s">
        <v>445</v>
      </c>
      <c r="G37" s="12" t="s">
        <v>771</v>
      </c>
      <c r="H37" s="12" t="s">
        <v>407</v>
      </c>
      <c r="I37" t="s">
        <v>774</v>
      </c>
      <c r="J37" t="s">
        <v>404</v>
      </c>
      <c r="K37" t="str">
        <f t="shared" si="0"/>
        <v>TS-UC-SEC-MCP-002test_014_rate_limit_reset_at_midnight</v>
      </c>
      <c r="Q37" t="s">
        <v>789</v>
      </c>
    </row>
    <row r="38" spans="1:17" ht="31.2" thickBot="1">
      <c r="A38" s="6" t="s">
        <v>120</v>
      </c>
      <c r="B38" s="6" t="s">
        <v>420</v>
      </c>
      <c r="C38" s="6" t="s">
        <v>459</v>
      </c>
      <c r="D38" s="6"/>
      <c r="E38" s="7"/>
      <c r="F38" s="8" t="s">
        <v>445</v>
      </c>
      <c r="G38" s="12" t="s">
        <v>771</v>
      </c>
      <c r="H38" s="12" t="s">
        <v>407</v>
      </c>
      <c r="I38" t="s">
        <v>774</v>
      </c>
      <c r="J38" t="s">
        <v>404</v>
      </c>
      <c r="K38" t="str">
        <f t="shared" si="0"/>
        <v>TS-UC-SEC-MCP-002test_edge_001_burst_59_requests_simultaneous</v>
      </c>
      <c r="Q38" t="s">
        <v>790</v>
      </c>
    </row>
    <row r="39" spans="1:17" ht="31.2" thickBot="1">
      <c r="A39" s="6" t="s">
        <v>120</v>
      </c>
      <c r="B39" s="6" t="s">
        <v>420</v>
      </c>
      <c r="C39" s="6" t="s">
        <v>460</v>
      </c>
      <c r="D39" s="6"/>
      <c r="E39" s="7"/>
      <c r="F39" s="8" t="s">
        <v>445</v>
      </c>
      <c r="G39" s="12" t="s">
        <v>771</v>
      </c>
      <c r="H39" s="12" t="s">
        <v>407</v>
      </c>
      <c r="I39" t="s">
        <v>774</v>
      </c>
      <c r="J39" t="s">
        <v>404</v>
      </c>
      <c r="K39" t="str">
        <f t="shared" si="0"/>
        <v>TS-UC-SEC-MCP-002test_edge_002_exactly_60_second_boundary</v>
      </c>
      <c r="Q39" t="s">
        <v>791</v>
      </c>
    </row>
    <row r="40" spans="1:17" ht="31.2" thickBot="1">
      <c r="A40" s="6" t="s">
        <v>120</v>
      </c>
      <c r="B40" s="6" t="s">
        <v>420</v>
      </c>
      <c r="C40" s="6" t="s">
        <v>461</v>
      </c>
      <c r="D40" s="6"/>
      <c r="E40" s="7"/>
      <c r="F40" s="8" t="s">
        <v>445</v>
      </c>
      <c r="G40" s="12" t="s">
        <v>771</v>
      </c>
      <c r="H40" s="12" t="s">
        <v>407</v>
      </c>
      <c r="I40" t="s">
        <v>774</v>
      </c>
      <c r="J40" t="s">
        <v>404</v>
      </c>
      <c r="K40" t="str">
        <f t="shared" si="0"/>
        <v>TS-UC-SEC-MCP-002test_edge_003_clock_skew_handling</v>
      </c>
      <c r="Q40" t="s">
        <v>792</v>
      </c>
    </row>
    <row r="41" spans="1:17" ht="31.2" thickBot="1">
      <c r="A41" s="6" t="s">
        <v>121</v>
      </c>
      <c r="B41" s="6" t="s">
        <v>420</v>
      </c>
      <c r="C41" s="6" t="s">
        <v>462</v>
      </c>
      <c r="D41" s="6"/>
      <c r="E41" s="7"/>
      <c r="F41" s="8" t="s">
        <v>463</v>
      </c>
      <c r="G41" s="12" t="s">
        <v>771</v>
      </c>
      <c r="H41" s="12" t="s">
        <v>407</v>
      </c>
      <c r="I41" t="s">
        <v>796</v>
      </c>
      <c r="J41" t="s">
        <v>404</v>
      </c>
      <c r="K41" t="str">
        <f t="shared" si="0"/>
        <v>TS-UC-SEC-MCP-003test_001_query_under_5s_allowed</v>
      </c>
    </row>
    <row r="42" spans="1:17" ht="31.2" thickBot="1">
      <c r="A42" s="6" t="s">
        <v>121</v>
      </c>
      <c r="B42" s="6" t="s">
        <v>420</v>
      </c>
      <c r="C42" s="6" t="s">
        <v>464</v>
      </c>
      <c r="D42" s="6"/>
      <c r="E42" s="7"/>
      <c r="F42" s="8" t="s">
        <v>463</v>
      </c>
      <c r="G42" s="12" t="s">
        <v>771</v>
      </c>
      <c r="H42" s="12" t="s">
        <v>407</v>
      </c>
      <c r="I42" t="s">
        <v>796</v>
      </c>
      <c r="J42" t="s">
        <v>404</v>
      </c>
      <c r="K42" t="str">
        <f t="shared" si="0"/>
        <v>TS-UC-SEC-MCP-003test_002_query_at_5s_allowed</v>
      </c>
    </row>
    <row r="43" spans="1:17" ht="31.2" thickBot="1">
      <c r="A43" s="6" t="s">
        <v>121</v>
      </c>
      <c r="B43" s="6" t="s">
        <v>420</v>
      </c>
      <c r="C43" s="6" t="s">
        <v>465</v>
      </c>
      <c r="D43" s="6"/>
      <c r="E43" s="7"/>
      <c r="F43" s="8" t="s">
        <v>463</v>
      </c>
      <c r="G43" s="12" t="s">
        <v>771</v>
      </c>
      <c r="H43" s="12" t="s">
        <v>407</v>
      </c>
      <c r="I43" t="s">
        <v>796</v>
      </c>
      <c r="J43" t="s">
        <v>404</v>
      </c>
      <c r="K43" t="str">
        <f t="shared" si="0"/>
        <v>TS-UC-SEC-MCP-003test_003_query_over_5s_timeout_cancelled</v>
      </c>
    </row>
    <row r="44" spans="1:17" ht="31.2" thickBot="1">
      <c r="A44" s="6" t="s">
        <v>121</v>
      </c>
      <c r="B44" s="6" t="s">
        <v>420</v>
      </c>
      <c r="C44" s="6" t="s">
        <v>466</v>
      </c>
      <c r="D44" s="6"/>
      <c r="E44" s="7"/>
      <c r="F44" s="8" t="s">
        <v>463</v>
      </c>
      <c r="G44" s="12" t="s">
        <v>771</v>
      </c>
      <c r="H44" s="12" t="s">
        <v>407</v>
      </c>
      <c r="I44" t="s">
        <v>796</v>
      </c>
      <c r="J44" t="s">
        <v>404</v>
      </c>
      <c r="K44" t="str">
        <f t="shared" si="0"/>
        <v>TS-UC-SEC-MCP-003test_004_query_result_under_1000_rows_allowed</v>
      </c>
    </row>
    <row r="45" spans="1:17" ht="31.2" thickBot="1">
      <c r="A45" s="6" t="s">
        <v>121</v>
      </c>
      <c r="B45" s="6" t="s">
        <v>420</v>
      </c>
      <c r="C45" s="6" t="s">
        <v>467</v>
      </c>
      <c r="D45" s="6"/>
      <c r="E45" s="7"/>
      <c r="F45" s="8" t="s">
        <v>463</v>
      </c>
      <c r="G45" s="12" t="s">
        <v>771</v>
      </c>
      <c r="H45" s="12" t="s">
        <v>407</v>
      </c>
      <c r="I45" t="s">
        <v>796</v>
      </c>
      <c r="J45" t="s">
        <v>404</v>
      </c>
      <c r="K45" t="str">
        <f t="shared" si="0"/>
        <v>TS-UC-SEC-MCP-003test_005_query_result_at_1000_rows_allowed</v>
      </c>
    </row>
    <row r="46" spans="1:17" ht="31.2" thickBot="1">
      <c r="A46" s="6" t="s">
        <v>121</v>
      </c>
      <c r="B46" s="6" t="s">
        <v>420</v>
      </c>
      <c r="C46" s="6" t="s">
        <v>468</v>
      </c>
      <c r="D46" s="6"/>
      <c r="E46" s="7"/>
      <c r="F46" s="8" t="s">
        <v>463</v>
      </c>
      <c r="G46" s="12" t="s">
        <v>771</v>
      </c>
      <c r="H46" s="12" t="s">
        <v>407</v>
      </c>
      <c r="I46" t="s">
        <v>796</v>
      </c>
      <c r="J46" t="s">
        <v>404</v>
      </c>
      <c r="K46" t="str">
        <f t="shared" si="0"/>
        <v>TS-UC-SEC-MCP-003test_006_query_result_over_1000_rows_truncated</v>
      </c>
    </row>
    <row r="47" spans="1:17" ht="31.2" thickBot="1">
      <c r="A47" s="6" t="s">
        <v>121</v>
      </c>
      <c r="B47" s="6" t="s">
        <v>420</v>
      </c>
      <c r="C47" s="6" t="s">
        <v>469</v>
      </c>
      <c r="D47" s="6"/>
      <c r="E47" s="7"/>
      <c r="F47" s="8" t="s">
        <v>463</v>
      </c>
      <c r="G47" s="12" t="s">
        <v>771</v>
      </c>
      <c r="H47" s="12" t="s">
        <v>407</v>
      </c>
      <c r="I47" t="s">
        <v>796</v>
      </c>
      <c r="J47" t="s">
        <v>404</v>
      </c>
      <c r="K47" t="str">
        <f t="shared" si="0"/>
        <v>TS-UC-SEC-MCP-003test_007_query_result_truncated_flag_set</v>
      </c>
    </row>
    <row r="48" spans="1:17" ht="31.2" thickBot="1">
      <c r="A48" s="6" t="s">
        <v>121</v>
      </c>
      <c r="B48" s="6" t="s">
        <v>420</v>
      </c>
      <c r="C48" s="6" t="s">
        <v>470</v>
      </c>
      <c r="D48" s="6"/>
      <c r="E48" s="7"/>
      <c r="F48" s="8" t="s">
        <v>463</v>
      </c>
      <c r="G48" s="12" t="s">
        <v>771</v>
      </c>
      <c r="H48" s="12" t="s">
        <v>407</v>
      </c>
      <c r="I48" t="s">
        <v>796</v>
      </c>
      <c r="J48" t="s">
        <v>404</v>
      </c>
      <c r="K48" t="str">
        <f t="shared" si="0"/>
        <v>TS-UC-SEC-MCP-003test_008_timeout_returns_partial_results</v>
      </c>
    </row>
    <row r="49" spans="1:11" ht="31.2" thickBot="1">
      <c r="A49" s="6" t="s">
        <v>121</v>
      </c>
      <c r="B49" s="6" t="s">
        <v>420</v>
      </c>
      <c r="C49" s="6" t="s">
        <v>471</v>
      </c>
      <c r="D49" s="6"/>
      <c r="E49" s="7"/>
      <c r="F49" s="8" t="s">
        <v>463</v>
      </c>
      <c r="G49" s="12" t="s">
        <v>771</v>
      </c>
      <c r="H49" s="12" t="s">
        <v>407</v>
      </c>
      <c r="I49" t="s">
        <v>796</v>
      </c>
      <c r="J49" t="s">
        <v>404</v>
      </c>
      <c r="K49" t="str">
        <f t="shared" si="0"/>
        <v>TS-UC-SEC-MCP-003test_009_timeout_audit_log_created</v>
      </c>
    </row>
    <row r="50" spans="1:11" ht="31.2" thickBot="1">
      <c r="A50" s="6" t="s">
        <v>121</v>
      </c>
      <c r="B50" s="6" t="s">
        <v>420</v>
      </c>
      <c r="C50" s="6" t="s">
        <v>472</v>
      </c>
      <c r="D50" s="6"/>
      <c r="E50" s="7"/>
      <c r="F50" s="8" t="s">
        <v>463</v>
      </c>
      <c r="G50" s="12" t="s">
        <v>771</v>
      </c>
      <c r="H50" s="12" t="s">
        <v>407</v>
      </c>
      <c r="I50" t="s">
        <v>796</v>
      </c>
      <c r="J50" t="s">
        <v>404</v>
      </c>
      <c r="K50" t="str">
        <f t="shared" si="0"/>
        <v>TS-UC-SEC-MCP-003test_010_row_limit_audit_log_created</v>
      </c>
    </row>
    <row r="51" spans="1:11" ht="31.2" thickBot="1">
      <c r="A51" s="6" t="s">
        <v>121</v>
      </c>
      <c r="B51" s="6" t="s">
        <v>420</v>
      </c>
      <c r="C51" s="6" t="s">
        <v>473</v>
      </c>
      <c r="D51" s="6"/>
      <c r="E51" s="7"/>
      <c r="F51" s="8" t="s">
        <v>463</v>
      </c>
      <c r="G51" s="12" t="s">
        <v>771</v>
      </c>
      <c r="H51" s="12" t="s">
        <v>407</v>
      </c>
      <c r="I51" t="s">
        <v>796</v>
      </c>
      <c r="J51" t="s">
        <v>404</v>
      </c>
      <c r="K51" t="str">
        <f t="shared" si="0"/>
        <v>TS-UC-SEC-MCP-003test_011_combined_timeout_and_row_limit</v>
      </c>
    </row>
    <row r="52" spans="1:11" ht="31.2" thickBot="1">
      <c r="A52" s="6" t="s">
        <v>121</v>
      </c>
      <c r="B52" s="6" t="s">
        <v>420</v>
      </c>
      <c r="C52" s="6" t="s">
        <v>474</v>
      </c>
      <c r="D52" s="6"/>
      <c r="E52" s="7"/>
      <c r="F52" s="8" t="s">
        <v>463</v>
      </c>
      <c r="G52" s="12" t="s">
        <v>771</v>
      </c>
      <c r="H52" s="12" t="s">
        <v>407</v>
      </c>
      <c r="I52" t="s">
        <v>796</v>
      </c>
      <c r="J52" t="s">
        <v>404</v>
      </c>
      <c r="K52" t="str">
        <f t="shared" si="0"/>
        <v>TS-UC-SEC-MCP-003test_012_query_limit_config_per_tenant</v>
      </c>
    </row>
    <row r="53" spans="1:11" ht="31.2" thickBot="1">
      <c r="A53" s="6" t="s">
        <v>121</v>
      </c>
      <c r="B53" s="6" t="s">
        <v>420</v>
      </c>
      <c r="C53" s="6" t="s">
        <v>475</v>
      </c>
      <c r="D53" s="6"/>
      <c r="E53" s="7"/>
      <c r="F53" s="8" t="s">
        <v>463</v>
      </c>
      <c r="G53" s="12" t="s">
        <v>771</v>
      </c>
      <c r="H53" s="12" t="s">
        <v>407</v>
      </c>
      <c r="I53" t="s">
        <v>796</v>
      </c>
      <c r="J53" t="s">
        <v>404</v>
      </c>
      <c r="K53" t="str">
        <f t="shared" si="0"/>
        <v>TS-UC-SEC-MCP-003test_edge_001_exactly_1000_rows</v>
      </c>
    </row>
    <row r="54" spans="1:11" ht="31.2" thickBot="1">
      <c r="A54" s="6" t="s">
        <v>121</v>
      </c>
      <c r="B54" s="6" t="s">
        <v>420</v>
      </c>
      <c r="C54" s="6" t="s">
        <v>476</v>
      </c>
      <c r="D54" s="6"/>
      <c r="E54" s="7"/>
      <c r="F54" s="8" t="s">
        <v>463</v>
      </c>
      <c r="G54" s="12" t="s">
        <v>771</v>
      </c>
      <c r="H54" s="12" t="s">
        <v>407</v>
      </c>
      <c r="I54" t="s">
        <v>796</v>
      </c>
      <c r="J54" t="s">
        <v>404</v>
      </c>
      <c r="K54" t="str">
        <f t="shared" si="0"/>
        <v>TS-UC-SEC-MCP-003test_edge_002_empty_result_set</v>
      </c>
    </row>
    <row r="55" spans="1:11" ht="31.2" thickBot="1">
      <c r="A55" s="6" t="s">
        <v>121</v>
      </c>
      <c r="B55" s="6" t="s">
        <v>420</v>
      </c>
      <c r="C55" s="6" t="s">
        <v>477</v>
      </c>
      <c r="D55" s="6"/>
      <c r="E55" s="7"/>
      <c r="F55" s="8" t="s">
        <v>463</v>
      </c>
      <c r="G55" s="12" t="s">
        <v>771</v>
      </c>
      <c r="H55" s="12" t="s">
        <v>407</v>
      </c>
      <c r="I55" t="s">
        <v>796</v>
      </c>
      <c r="J55" t="s">
        <v>404</v>
      </c>
      <c r="K55" t="str">
        <f t="shared" si="0"/>
        <v>TS-UC-SEC-MCP-003test_edge_003_streaming_query_timeout</v>
      </c>
    </row>
    <row r="56" spans="1:11" ht="31.2" thickBot="1">
      <c r="A56" s="6" t="s">
        <v>123</v>
      </c>
      <c r="B56" s="6" t="s">
        <v>420</v>
      </c>
      <c r="C56" s="6" t="s">
        <v>478</v>
      </c>
      <c r="D56" s="6"/>
      <c r="E56" s="7"/>
      <c r="F56" s="8" t="s">
        <v>479</v>
      </c>
      <c r="G56" s="12" t="s">
        <v>771</v>
      </c>
      <c r="H56" s="12" t="s">
        <v>407</v>
      </c>
      <c r="I56" t="s">
        <v>774</v>
      </c>
      <c r="J56" t="s">
        <v>404</v>
      </c>
      <c r="K56" t="str">
        <f t="shared" si="0"/>
        <v>TS-UC-SEC-ANO-001test_001_detect_dni_valid_12345678Z</v>
      </c>
    </row>
    <row r="57" spans="1:11" ht="31.2" thickBot="1">
      <c r="A57" s="6" t="s">
        <v>123</v>
      </c>
      <c r="B57" s="6" t="s">
        <v>420</v>
      </c>
      <c r="C57" s="6" t="s">
        <v>480</v>
      </c>
      <c r="D57" s="6"/>
      <c r="E57" s="7"/>
      <c r="F57" s="8" t="s">
        <v>479</v>
      </c>
      <c r="G57" s="12" t="s">
        <v>771</v>
      </c>
      <c r="H57" s="12" t="s">
        <v>407</v>
      </c>
      <c r="I57" t="s">
        <v>774</v>
      </c>
      <c r="J57" t="s">
        <v>404</v>
      </c>
      <c r="K57" t="str">
        <f t="shared" si="0"/>
        <v>TS-UC-SEC-ANO-001test_002_detect_dni_valid_87654321X</v>
      </c>
    </row>
    <row r="58" spans="1:11" ht="31.2" thickBot="1">
      <c r="A58" s="6" t="s">
        <v>123</v>
      </c>
      <c r="B58" s="6" t="s">
        <v>420</v>
      </c>
      <c r="C58" s="6" t="s">
        <v>481</v>
      </c>
      <c r="D58" s="6"/>
      <c r="E58" s="7"/>
      <c r="F58" s="8" t="s">
        <v>479</v>
      </c>
      <c r="G58" s="12" t="s">
        <v>771</v>
      </c>
      <c r="H58" s="12" t="s">
        <v>407</v>
      </c>
      <c r="I58" t="s">
        <v>774</v>
      </c>
      <c r="J58" t="s">
        <v>404</v>
      </c>
      <c r="K58" t="str">
        <f t="shared" si="0"/>
        <v>TS-UC-SEC-ANO-001test_003_detect_dni_invalid_length_9_digits</v>
      </c>
    </row>
    <row r="59" spans="1:11" ht="31.2" thickBot="1">
      <c r="A59" s="6" t="s">
        <v>123</v>
      </c>
      <c r="B59" s="6" t="s">
        <v>420</v>
      </c>
      <c r="C59" s="6" t="s">
        <v>482</v>
      </c>
      <c r="D59" s="6"/>
      <c r="E59" s="7"/>
      <c r="F59" s="8" t="s">
        <v>479</v>
      </c>
      <c r="G59" s="12" t="s">
        <v>771</v>
      </c>
      <c r="H59" s="12" t="s">
        <v>407</v>
      </c>
      <c r="I59" t="s">
        <v>774</v>
      </c>
      <c r="J59" t="s">
        <v>404</v>
      </c>
      <c r="K59" t="str">
        <f t="shared" si="0"/>
        <v>TS-UC-SEC-ANO-001test_004_detect_dni_invalid_length_7_digits</v>
      </c>
    </row>
    <row r="60" spans="1:11" ht="31.2" thickBot="1">
      <c r="A60" s="6" t="s">
        <v>123</v>
      </c>
      <c r="B60" s="6" t="s">
        <v>420</v>
      </c>
      <c r="C60" s="6" t="s">
        <v>483</v>
      </c>
      <c r="D60" s="6"/>
      <c r="E60" s="7"/>
      <c r="F60" s="8" t="s">
        <v>479</v>
      </c>
      <c r="G60" s="12" t="s">
        <v>771</v>
      </c>
      <c r="H60" s="12" t="s">
        <v>407</v>
      </c>
      <c r="I60" t="s">
        <v>774</v>
      </c>
      <c r="J60" t="s">
        <v>404</v>
      </c>
      <c r="K60" t="str">
        <f t="shared" si="0"/>
        <v>TS-UC-SEC-ANO-001test_005_detect_dni_invalid_letter_checksum</v>
      </c>
    </row>
    <row r="61" spans="1:11" ht="31.2" thickBot="1">
      <c r="A61" s="6" t="s">
        <v>123</v>
      </c>
      <c r="B61" s="6" t="s">
        <v>420</v>
      </c>
      <c r="C61" s="6" t="s">
        <v>484</v>
      </c>
      <c r="D61" s="6"/>
      <c r="E61" s="7"/>
      <c r="F61" s="8" t="s">
        <v>479</v>
      </c>
      <c r="G61" s="12" t="s">
        <v>771</v>
      </c>
      <c r="H61" s="12" t="s">
        <v>407</v>
      </c>
      <c r="I61" t="s">
        <v>774</v>
      </c>
      <c r="J61" t="s">
        <v>404</v>
      </c>
      <c r="K61" t="str">
        <f t="shared" si="0"/>
        <v>TS-UC-SEC-ANO-001test_006_detect_multiple_dnis_in_text</v>
      </c>
    </row>
    <row r="62" spans="1:11" ht="31.2" thickBot="1">
      <c r="A62" s="6" t="s">
        <v>123</v>
      </c>
      <c r="B62" s="6" t="s">
        <v>420</v>
      </c>
      <c r="C62" s="6" t="s">
        <v>485</v>
      </c>
      <c r="D62" s="6"/>
      <c r="E62" s="7"/>
      <c r="F62" s="8" t="s">
        <v>479</v>
      </c>
      <c r="G62" s="12" t="s">
        <v>771</v>
      </c>
      <c r="H62" s="12" t="s">
        <v>407</v>
      </c>
      <c r="I62" t="s">
        <v>774</v>
      </c>
      <c r="J62" t="s">
        <v>404</v>
      </c>
      <c r="K62" t="str">
        <f t="shared" si="0"/>
        <v>TS-UC-SEC-ANO-001test_007_detect_email_simple</v>
      </c>
    </row>
    <row r="63" spans="1:11" ht="31.2" thickBot="1">
      <c r="A63" s="6" t="s">
        <v>123</v>
      </c>
      <c r="B63" s="6" t="s">
        <v>420</v>
      </c>
      <c r="C63" s="6" t="s">
        <v>486</v>
      </c>
      <c r="D63" s="6"/>
      <c r="E63" s="7"/>
      <c r="F63" s="8" t="s">
        <v>479</v>
      </c>
      <c r="G63" s="12" t="s">
        <v>771</v>
      </c>
      <c r="H63" s="12" t="s">
        <v>407</v>
      </c>
      <c r="I63" t="s">
        <v>774</v>
      </c>
      <c r="J63" t="s">
        <v>404</v>
      </c>
      <c r="K63" t="str">
        <f t="shared" si="0"/>
        <v>TS-UC-SEC-ANO-001test_008_detect_email_with_subdomain</v>
      </c>
    </row>
    <row r="64" spans="1:11" ht="31.2" thickBot="1">
      <c r="A64" s="6" t="s">
        <v>123</v>
      </c>
      <c r="B64" s="6" t="s">
        <v>420</v>
      </c>
      <c r="C64" s="6" t="s">
        <v>487</v>
      </c>
      <c r="D64" s="6"/>
      <c r="E64" s="7"/>
      <c r="F64" s="8" t="s">
        <v>479</v>
      </c>
      <c r="G64" s="12" t="s">
        <v>771</v>
      </c>
      <c r="H64" s="12" t="s">
        <v>407</v>
      </c>
      <c r="I64" t="s">
        <v>774</v>
      </c>
      <c r="J64" t="s">
        <v>404</v>
      </c>
      <c r="K64" t="str">
        <f t="shared" si="0"/>
        <v>TS-UC-SEC-ANO-001test_009_detect_email_with_plus_sign</v>
      </c>
    </row>
    <row r="65" spans="1:11" ht="31.2" thickBot="1">
      <c r="A65" s="6" t="s">
        <v>123</v>
      </c>
      <c r="B65" s="6" t="s">
        <v>420</v>
      </c>
      <c r="C65" s="6" t="s">
        <v>488</v>
      </c>
      <c r="D65" s="6"/>
      <c r="E65" s="7"/>
      <c r="F65" s="8" t="s">
        <v>479</v>
      </c>
      <c r="G65" s="12" t="s">
        <v>771</v>
      </c>
      <c r="H65" s="12" t="s">
        <v>407</v>
      </c>
      <c r="I65" t="s">
        <v>774</v>
      </c>
      <c r="J65" t="s">
        <v>404</v>
      </c>
      <c r="K65" t="str">
        <f t="shared" si="0"/>
        <v>TS-UC-SEC-ANO-001test_010_detect_email_invalid_no_at</v>
      </c>
    </row>
    <row r="66" spans="1:11" ht="31.2" thickBot="1">
      <c r="A66" s="6" t="s">
        <v>123</v>
      </c>
      <c r="B66" s="6" t="s">
        <v>420</v>
      </c>
      <c r="C66" s="6" t="s">
        <v>489</v>
      </c>
      <c r="D66" s="6"/>
      <c r="E66" s="7"/>
      <c r="F66" s="8" t="s">
        <v>479</v>
      </c>
      <c r="G66" s="12" t="s">
        <v>771</v>
      </c>
      <c r="H66" s="12" t="s">
        <v>407</v>
      </c>
      <c r="I66" t="s">
        <v>774</v>
      </c>
      <c r="J66" t="s">
        <v>404</v>
      </c>
      <c r="K66" t="str">
        <f t="shared" si="0"/>
        <v>TS-UC-SEC-ANO-001test_011_detect_multiple_emails_in_text</v>
      </c>
    </row>
    <row r="67" spans="1:11" ht="31.2" thickBot="1">
      <c r="A67" s="6" t="s">
        <v>123</v>
      </c>
      <c r="B67" s="6" t="s">
        <v>420</v>
      </c>
      <c r="C67" s="6" t="s">
        <v>490</v>
      </c>
      <c r="D67" s="6"/>
      <c r="E67" s="7"/>
      <c r="F67" s="8" t="s">
        <v>479</v>
      </c>
      <c r="G67" s="12" t="s">
        <v>771</v>
      </c>
      <c r="H67" s="12" t="s">
        <v>407</v>
      </c>
      <c r="I67" t="s">
        <v>774</v>
      </c>
      <c r="J67" t="s">
        <v>404</v>
      </c>
      <c r="K67" t="str">
        <f t="shared" si="0"/>
        <v>TS-UC-SEC-ANO-001test_012_detect_phone_mobile_612345678</v>
      </c>
    </row>
    <row r="68" spans="1:11" ht="31.2" thickBot="1">
      <c r="A68" s="6" t="s">
        <v>123</v>
      </c>
      <c r="B68" s="6" t="s">
        <v>420</v>
      </c>
      <c r="C68" s="6" t="s">
        <v>491</v>
      </c>
      <c r="D68" s="6"/>
      <c r="E68" s="7"/>
      <c r="F68" s="8" t="s">
        <v>479</v>
      </c>
      <c r="G68" s="12" t="s">
        <v>771</v>
      </c>
      <c r="H68" s="12" t="s">
        <v>407</v>
      </c>
      <c r="I68" t="s">
        <v>774</v>
      </c>
      <c r="J68" t="s">
        <v>404</v>
      </c>
      <c r="K68" t="str">
        <f t="shared" si="0"/>
        <v>TS-UC-SEC-ANO-001test_013_detect_phone_mobile_with_prefix_34</v>
      </c>
    </row>
    <row r="69" spans="1:11" ht="31.2" thickBot="1">
      <c r="A69" s="6" t="s">
        <v>123</v>
      </c>
      <c r="B69" s="6" t="s">
        <v>420</v>
      </c>
      <c r="C69" s="6" t="s">
        <v>492</v>
      </c>
      <c r="D69" s="6"/>
      <c r="E69" s="7"/>
      <c r="F69" s="8" t="s">
        <v>479</v>
      </c>
      <c r="G69" s="12" t="s">
        <v>771</v>
      </c>
      <c r="H69" s="12" t="s">
        <v>407</v>
      </c>
      <c r="I69" t="s">
        <v>774</v>
      </c>
      <c r="J69" t="s">
        <v>404</v>
      </c>
      <c r="K69" t="str">
        <f t="shared" si="0"/>
        <v>TS-UC-SEC-ANO-001test_014_detect_phone_landline_912345678</v>
      </c>
    </row>
    <row r="70" spans="1:11" ht="31.2" thickBot="1">
      <c r="A70" s="6" t="s">
        <v>123</v>
      </c>
      <c r="B70" s="6" t="s">
        <v>420</v>
      </c>
      <c r="C70" s="6" t="s">
        <v>493</v>
      </c>
      <c r="D70" s="6"/>
      <c r="E70" s="7"/>
      <c r="F70" s="8" t="s">
        <v>479</v>
      </c>
      <c r="G70" s="12" t="s">
        <v>771</v>
      </c>
      <c r="H70" s="12" t="s">
        <v>407</v>
      </c>
      <c r="I70" t="s">
        <v>774</v>
      </c>
      <c r="J70" t="s">
        <v>404</v>
      </c>
      <c r="K70" t="str">
        <f t="shared" si="0"/>
        <v>TS-UC-SEC-ANO-001test_015_detect_phone_invalid_short</v>
      </c>
    </row>
    <row r="71" spans="1:11" ht="31.2" thickBot="1">
      <c r="A71" s="6" t="s">
        <v>123</v>
      </c>
      <c r="B71" s="6" t="s">
        <v>420</v>
      </c>
      <c r="C71" s="6" t="s">
        <v>494</v>
      </c>
      <c r="D71" s="6"/>
      <c r="E71" s="7"/>
      <c r="F71" s="8" t="s">
        <v>479</v>
      </c>
      <c r="G71" s="12" t="s">
        <v>771</v>
      </c>
      <c r="H71" s="12" t="s">
        <v>407</v>
      </c>
      <c r="I71" t="s">
        <v>774</v>
      </c>
      <c r="J71" t="s">
        <v>404</v>
      </c>
      <c r="K71" t="str">
        <f t="shared" si="0"/>
        <v>TS-UC-SEC-ANO-001test_016_detect_multiple_phones_in_text</v>
      </c>
    </row>
    <row r="72" spans="1:11" ht="31.2" thickBot="1">
      <c r="A72" s="6" t="s">
        <v>123</v>
      </c>
      <c r="B72" s="6" t="s">
        <v>420</v>
      </c>
      <c r="C72" s="6" t="s">
        <v>495</v>
      </c>
      <c r="D72" s="6"/>
      <c r="E72" s="7"/>
      <c r="F72" s="8" t="s">
        <v>479</v>
      </c>
      <c r="G72" s="12" t="s">
        <v>771</v>
      </c>
      <c r="H72" s="12" t="s">
        <v>407</v>
      </c>
      <c r="I72" t="s">
        <v>774</v>
      </c>
      <c r="J72" t="s">
        <v>404</v>
      </c>
      <c r="K72" t="str">
        <f t="shared" si="0"/>
        <v>TS-UC-SEC-ANO-001test_017_detect_iban_spain_valid</v>
      </c>
    </row>
    <row r="73" spans="1:11" ht="31.2" thickBot="1">
      <c r="A73" s="6" t="s">
        <v>123</v>
      </c>
      <c r="B73" s="6" t="s">
        <v>420</v>
      </c>
      <c r="C73" s="6" t="s">
        <v>496</v>
      </c>
      <c r="D73" s="6"/>
      <c r="E73" s="7"/>
      <c r="F73" s="8" t="s">
        <v>479</v>
      </c>
      <c r="G73" s="12" t="s">
        <v>771</v>
      </c>
      <c r="H73" s="12" t="s">
        <v>407</v>
      </c>
      <c r="I73" t="s">
        <v>774</v>
      </c>
      <c r="J73" t="s">
        <v>404</v>
      </c>
      <c r="K73" t="str">
        <f t="shared" si="0"/>
        <v>TS-UC-SEC-ANO-001test_018_detect_iban_germany_valid</v>
      </c>
    </row>
    <row r="74" spans="1:11" ht="31.2" thickBot="1">
      <c r="A74" s="6" t="s">
        <v>123</v>
      </c>
      <c r="B74" s="6" t="s">
        <v>420</v>
      </c>
      <c r="C74" s="6" t="s">
        <v>497</v>
      </c>
      <c r="D74" s="6"/>
      <c r="E74" s="7"/>
      <c r="F74" s="8" t="s">
        <v>479</v>
      </c>
      <c r="G74" s="12" t="s">
        <v>771</v>
      </c>
      <c r="H74" s="12" t="s">
        <v>407</v>
      </c>
      <c r="I74" t="s">
        <v>774</v>
      </c>
      <c r="J74" t="s">
        <v>404</v>
      </c>
      <c r="K74" t="str">
        <f t="shared" si="0"/>
        <v>TS-UC-SEC-ANO-001test_019_detect_iban_invalid_checksum</v>
      </c>
    </row>
    <row r="75" spans="1:11" ht="31.2" thickBot="1">
      <c r="A75" s="6" t="s">
        <v>123</v>
      </c>
      <c r="B75" s="6" t="s">
        <v>420</v>
      </c>
      <c r="C75" s="6" t="s">
        <v>498</v>
      </c>
      <c r="D75" s="6"/>
      <c r="E75" s="7"/>
      <c r="F75" s="8" t="s">
        <v>479</v>
      </c>
      <c r="G75" s="12" t="s">
        <v>771</v>
      </c>
      <c r="H75" s="12" t="s">
        <v>407</v>
      </c>
      <c r="I75" t="s">
        <v>774</v>
      </c>
      <c r="J75" t="s">
        <v>404</v>
      </c>
      <c r="K75" t="str">
        <f t="shared" si="0"/>
        <v>TS-UC-SEC-ANO-001test_020_detect_iban_invalid_length</v>
      </c>
    </row>
    <row r="76" spans="1:11" ht="31.2" thickBot="1">
      <c r="A76" s="6" t="s">
        <v>123</v>
      </c>
      <c r="B76" s="6" t="s">
        <v>420</v>
      </c>
      <c r="C76" s="6" t="s">
        <v>499</v>
      </c>
      <c r="D76" s="6"/>
      <c r="E76" s="7"/>
      <c r="F76" s="8" t="s">
        <v>479</v>
      </c>
      <c r="G76" s="12" t="s">
        <v>771</v>
      </c>
      <c r="H76" s="12" t="s">
        <v>407</v>
      </c>
      <c r="I76" t="s">
        <v>774</v>
      </c>
      <c r="J76" t="s">
        <v>404</v>
      </c>
      <c r="K76" t="str">
        <f t="shared" si="0"/>
        <v>TS-UC-SEC-ANO-001test_021_detect_all_pii_types_in_document</v>
      </c>
    </row>
    <row r="77" spans="1:11" ht="31.2" thickBot="1">
      <c r="A77" s="6" t="s">
        <v>123</v>
      </c>
      <c r="B77" s="6" t="s">
        <v>420</v>
      </c>
      <c r="C77" s="6" t="s">
        <v>500</v>
      </c>
      <c r="D77" s="6"/>
      <c r="E77" s="7"/>
      <c r="F77" s="8" t="s">
        <v>479</v>
      </c>
      <c r="G77" s="12" t="s">
        <v>771</v>
      </c>
      <c r="H77" s="12" t="s">
        <v>407</v>
      </c>
      <c r="I77" t="s">
        <v>774</v>
      </c>
      <c r="J77" t="s">
        <v>404</v>
      </c>
      <c r="K77" t="str">
        <f t="shared" si="0"/>
        <v>TS-UC-SEC-ANO-001test_022_detect_no_pii_clean_document</v>
      </c>
    </row>
    <row r="78" spans="1:11" ht="31.2" thickBot="1">
      <c r="A78" s="6" t="s">
        <v>123</v>
      </c>
      <c r="B78" s="6" t="s">
        <v>420</v>
      </c>
      <c r="C78" s="6" t="s">
        <v>501</v>
      </c>
      <c r="D78" s="6"/>
      <c r="E78" s="7"/>
      <c r="F78" s="8" t="s">
        <v>479</v>
      </c>
      <c r="G78" s="12" t="s">
        <v>771</v>
      </c>
      <c r="H78" s="12" t="s">
        <v>407</v>
      </c>
      <c r="I78" t="s">
        <v>774</v>
      </c>
      <c r="J78" t="s">
        <v>404</v>
      </c>
      <c r="K78" t="str">
        <f t="shared" si="0"/>
        <v>TS-UC-SEC-ANO-001test_023_detect_pii_positions_returned</v>
      </c>
    </row>
    <row r="79" spans="1:11" ht="31.2" thickBot="1">
      <c r="A79" s="6" t="s">
        <v>123</v>
      </c>
      <c r="B79" s="6" t="s">
        <v>420</v>
      </c>
      <c r="C79" s="6" t="s">
        <v>502</v>
      </c>
      <c r="D79" s="6"/>
      <c r="E79" s="7"/>
      <c r="F79" s="8" t="s">
        <v>479</v>
      </c>
      <c r="G79" s="12" t="s">
        <v>771</v>
      </c>
      <c r="H79" s="12" t="s">
        <v>407</v>
      </c>
      <c r="I79" t="s">
        <v>774</v>
      </c>
      <c r="J79" t="s">
        <v>404</v>
      </c>
      <c r="K79" t="str">
        <f t="shared" si="0"/>
        <v>TS-UC-SEC-ANO-001test_024_detect_pii_counts_by_type</v>
      </c>
    </row>
    <row r="80" spans="1:11" ht="31.2" thickBot="1">
      <c r="A80" s="6" t="s">
        <v>123</v>
      </c>
      <c r="B80" s="6" t="s">
        <v>420</v>
      </c>
      <c r="C80" s="6" t="s">
        <v>503</v>
      </c>
      <c r="D80" s="6"/>
      <c r="E80" s="7"/>
      <c r="F80" s="8" t="s">
        <v>479</v>
      </c>
      <c r="G80" s="12" t="s">
        <v>771</v>
      </c>
      <c r="H80" s="12" t="s">
        <v>407</v>
      </c>
      <c r="I80" t="s">
        <v>774</v>
      </c>
      <c r="J80" t="s">
        <v>404</v>
      </c>
      <c r="K80" t="str">
        <f t="shared" si="0"/>
        <v>TS-UC-SEC-ANO-001test_edge_001_pii_in_different_languages</v>
      </c>
    </row>
    <row r="81" spans="1:11" ht="31.2" thickBot="1">
      <c r="A81" s="6" t="s">
        <v>123</v>
      </c>
      <c r="B81" s="6" t="s">
        <v>420</v>
      </c>
      <c r="C81" s="6" t="s">
        <v>504</v>
      </c>
      <c r="D81" s="6"/>
      <c r="E81" s="7"/>
      <c r="F81" s="8" t="s">
        <v>479</v>
      </c>
      <c r="G81" s="12" t="s">
        <v>771</v>
      </c>
      <c r="H81" s="12" t="s">
        <v>407</v>
      </c>
      <c r="I81" t="s">
        <v>774</v>
      </c>
      <c r="J81" t="s">
        <v>404</v>
      </c>
      <c r="K81" t="str">
        <f t="shared" si="0"/>
        <v>TS-UC-SEC-ANO-001test_edge_002_pii_with_unicode_characters</v>
      </c>
    </row>
    <row r="82" spans="1:11" ht="31.2" thickBot="1">
      <c r="A82" s="6" t="s">
        <v>123</v>
      </c>
      <c r="B82" s="6" t="s">
        <v>420</v>
      </c>
      <c r="C82" s="6" t="s">
        <v>505</v>
      </c>
      <c r="D82" s="6"/>
      <c r="E82" s="7"/>
      <c r="F82" s="8" t="s">
        <v>479</v>
      </c>
      <c r="J82" t="s">
        <v>404</v>
      </c>
      <c r="K82" t="str">
        <f t="shared" si="0"/>
        <v>TS-UC-SEC-ANO-001test_edge_003_pii_in_html_escaped_text</v>
      </c>
    </row>
    <row r="83" spans="1:11" ht="31.2" thickBot="1">
      <c r="A83" s="6" t="s">
        <v>124</v>
      </c>
      <c r="B83" s="6" t="s">
        <v>420</v>
      </c>
      <c r="C83" s="6" t="s">
        <v>506</v>
      </c>
      <c r="D83" s="6"/>
      <c r="E83" s="7"/>
      <c r="F83" s="8" t="s">
        <v>507</v>
      </c>
      <c r="G83" s="13" t="s">
        <v>771</v>
      </c>
      <c r="H83" s="12" t="s">
        <v>407</v>
      </c>
      <c r="J83" t="s">
        <v>404</v>
      </c>
      <c r="K83" t="str">
        <f t="shared" si="0"/>
        <v>TS-UC-SEC-ANO-002test_001_redact_dni_to_redacted</v>
      </c>
    </row>
    <row r="84" spans="1:11" ht="31.2" thickBot="1">
      <c r="A84" s="6" t="s">
        <v>124</v>
      </c>
      <c r="B84" s="6" t="s">
        <v>420</v>
      </c>
      <c r="C84" s="6" t="s">
        <v>508</v>
      </c>
      <c r="D84" s="6"/>
      <c r="E84" s="7"/>
      <c r="F84" s="8" t="s">
        <v>507</v>
      </c>
      <c r="G84" s="13" t="s">
        <v>771</v>
      </c>
      <c r="H84" s="12" t="s">
        <v>407</v>
      </c>
      <c r="J84" t="s">
        <v>404</v>
      </c>
      <c r="K84" t="str">
        <f t="shared" si="0"/>
        <v>TS-UC-SEC-ANO-002test_002_redact_email_to_redacted</v>
      </c>
    </row>
    <row r="85" spans="1:11" ht="31.2" thickBot="1">
      <c r="A85" s="6" t="s">
        <v>124</v>
      </c>
      <c r="B85" s="6" t="s">
        <v>420</v>
      </c>
      <c r="C85" s="6" t="s">
        <v>509</v>
      </c>
      <c r="D85" s="6"/>
      <c r="E85" s="7"/>
      <c r="F85" s="8" t="s">
        <v>507</v>
      </c>
      <c r="G85" s="13" t="s">
        <v>771</v>
      </c>
      <c r="H85" s="12" t="s">
        <v>407</v>
      </c>
      <c r="J85" t="s">
        <v>404</v>
      </c>
      <c r="K85" t="str">
        <f t="shared" si="0"/>
        <v>TS-UC-SEC-ANO-002test_003_redact_phone_to_redacted</v>
      </c>
    </row>
    <row r="86" spans="1:11" ht="31.2" thickBot="1">
      <c r="A86" s="6" t="s">
        <v>124</v>
      </c>
      <c r="B86" s="6" t="s">
        <v>420</v>
      </c>
      <c r="C86" s="6" t="s">
        <v>510</v>
      </c>
      <c r="D86" s="6"/>
      <c r="E86" s="7"/>
      <c r="F86" s="8" t="s">
        <v>507</v>
      </c>
      <c r="G86" s="13" t="s">
        <v>771</v>
      </c>
      <c r="H86" s="12" t="s">
        <v>407</v>
      </c>
      <c r="J86" t="s">
        <v>404</v>
      </c>
      <c r="K86" t="str">
        <f t="shared" si="0"/>
        <v>TS-UC-SEC-ANO-002test_004_redact_multiple_pii_all_redacted</v>
      </c>
    </row>
    <row r="87" spans="1:11" ht="31.2" thickBot="1">
      <c r="A87" s="6" t="s">
        <v>124</v>
      </c>
      <c r="B87" s="6" t="s">
        <v>420</v>
      </c>
      <c r="C87" s="6" t="s">
        <v>511</v>
      </c>
      <c r="D87" s="6"/>
      <c r="E87" s="7"/>
      <c r="F87" s="8" t="s">
        <v>507</v>
      </c>
      <c r="G87" s="13" t="s">
        <v>771</v>
      </c>
      <c r="H87" s="12" t="s">
        <v>407</v>
      </c>
      <c r="J87" t="s">
        <v>404</v>
      </c>
      <c r="K87" t="str">
        <f t="shared" si="0"/>
        <v>TS-UC-SEC-ANO-002test_005_hash_dni_deterministic</v>
      </c>
    </row>
    <row r="88" spans="1:11" ht="31.2" thickBot="1">
      <c r="A88" s="6" t="s">
        <v>124</v>
      </c>
      <c r="B88" s="6" t="s">
        <v>420</v>
      </c>
      <c r="C88" s="6" t="s">
        <v>512</v>
      </c>
      <c r="D88" s="6"/>
      <c r="E88" s="7"/>
      <c r="F88" s="8" t="s">
        <v>507</v>
      </c>
      <c r="G88" s="13" t="s">
        <v>771</v>
      </c>
      <c r="H88" s="12" t="s">
        <v>407</v>
      </c>
      <c r="J88" t="s">
        <v>404</v>
      </c>
      <c r="K88" t="str">
        <f t="shared" si="0"/>
        <v>TS-UC-SEC-ANO-002test_006_hash_same_value_same_hash</v>
      </c>
    </row>
    <row r="89" spans="1:11" ht="31.2" thickBot="1">
      <c r="A89" s="6" t="s">
        <v>124</v>
      </c>
      <c r="B89" s="6" t="s">
        <v>420</v>
      </c>
      <c r="C89" s="6" t="s">
        <v>513</v>
      </c>
      <c r="D89" s="6"/>
      <c r="E89" s="7"/>
      <c r="F89" s="8" t="s">
        <v>507</v>
      </c>
      <c r="G89" s="13" t="s">
        <v>771</v>
      </c>
      <c r="H89" s="12" t="s">
        <v>407</v>
      </c>
      <c r="J89" t="s">
        <v>404</v>
      </c>
      <c r="K89" t="str">
        <f t="shared" ref="K89:K152" si="1">CONCATENATE(A89,C89)</f>
        <v>TS-UC-SEC-ANO-002test_007_hash_different_values_different_hash</v>
      </c>
    </row>
    <row r="90" spans="1:11" ht="31.2" thickBot="1">
      <c r="A90" s="6" t="s">
        <v>124</v>
      </c>
      <c r="B90" s="6" t="s">
        <v>420</v>
      </c>
      <c r="C90" s="6" t="s">
        <v>514</v>
      </c>
      <c r="D90" s="6"/>
      <c r="E90" s="7"/>
      <c r="F90" s="8" t="s">
        <v>507</v>
      </c>
      <c r="G90" s="13" t="s">
        <v>771</v>
      </c>
      <c r="H90" s="12" t="s">
        <v>407</v>
      </c>
      <c r="J90" t="s">
        <v>404</v>
      </c>
      <c r="K90" t="str">
        <f t="shared" si="1"/>
        <v>TS-UC-SEC-ANO-002test_008_hash_irreversible_validation</v>
      </c>
    </row>
    <row r="91" spans="1:11" ht="31.2" thickBot="1">
      <c r="A91" s="6" t="s">
        <v>124</v>
      </c>
      <c r="B91" s="6" t="s">
        <v>420</v>
      </c>
      <c r="C91" s="6" t="s">
        <v>515</v>
      </c>
      <c r="D91" s="6"/>
      <c r="E91" s="7"/>
      <c r="F91" s="8" t="s">
        <v>507</v>
      </c>
      <c r="G91" s="13" t="s">
        <v>771</v>
      </c>
      <c r="H91" s="12" t="s">
        <v>407</v>
      </c>
      <c r="J91" t="s">
        <v>404</v>
      </c>
      <c r="K91" t="str">
        <f t="shared" si="1"/>
        <v>TS-UC-SEC-ANO-002test_009_pseudonymize_name_to_persona_001</v>
      </c>
    </row>
    <row r="92" spans="1:11" ht="31.2" thickBot="1">
      <c r="A92" s="6" t="s">
        <v>124</v>
      </c>
      <c r="B92" s="6" t="s">
        <v>420</v>
      </c>
      <c r="C92" s="6" t="s">
        <v>516</v>
      </c>
      <c r="D92" s="6"/>
      <c r="E92" s="7"/>
      <c r="F92" s="8" t="s">
        <v>507</v>
      </c>
      <c r="G92" s="13" t="s">
        <v>771</v>
      </c>
      <c r="H92" s="12" t="s">
        <v>407</v>
      </c>
      <c r="J92" t="s">
        <v>404</v>
      </c>
      <c r="K92" t="str">
        <f t="shared" si="1"/>
        <v>TS-UC-SEC-ANO-002test_010_pseudonymize_consistent_same_name</v>
      </c>
    </row>
    <row r="93" spans="1:11" ht="31.2" thickBot="1">
      <c r="A93" s="6" t="s">
        <v>124</v>
      </c>
      <c r="B93" s="6" t="s">
        <v>420</v>
      </c>
      <c r="C93" s="6" t="s">
        <v>517</v>
      </c>
      <c r="D93" s="6"/>
      <c r="E93" s="7"/>
      <c r="F93" s="8" t="s">
        <v>507</v>
      </c>
      <c r="G93" s="13" t="s">
        <v>771</v>
      </c>
      <c r="H93" s="12" t="s">
        <v>407</v>
      </c>
      <c r="J93" t="s">
        <v>404</v>
      </c>
      <c r="K93" t="str">
        <f t="shared" si="1"/>
        <v>TS-UC-SEC-ANO-002test_011_pseudonymize_different_names_different_ids</v>
      </c>
    </row>
    <row r="94" spans="1:11" ht="31.2" thickBot="1">
      <c r="A94" s="6" t="s">
        <v>124</v>
      </c>
      <c r="B94" s="6" t="s">
        <v>420</v>
      </c>
      <c r="C94" s="6" t="s">
        <v>518</v>
      </c>
      <c r="D94" s="6"/>
      <c r="E94" s="7"/>
      <c r="F94" s="8" t="s">
        <v>507</v>
      </c>
      <c r="G94" s="13" t="s">
        <v>771</v>
      </c>
      <c r="H94" s="12" t="s">
        <v>407</v>
      </c>
      <c r="J94" t="s">
        <v>404</v>
      </c>
      <c r="K94" t="str">
        <f t="shared" si="1"/>
        <v>TS-UC-SEC-ANO-002test_012_pseudonymize_in_context_preserved</v>
      </c>
    </row>
    <row r="95" spans="1:11" ht="31.2" thickBot="1">
      <c r="A95" s="6" t="s">
        <v>124</v>
      </c>
      <c r="B95" s="6" t="s">
        <v>420</v>
      </c>
      <c r="C95" s="6" t="s">
        <v>519</v>
      </c>
      <c r="D95" s="6"/>
      <c r="E95" s="7"/>
      <c r="F95" s="8" t="s">
        <v>507</v>
      </c>
      <c r="G95" s="13" t="s">
        <v>771</v>
      </c>
      <c r="H95" s="12" t="s">
        <v>407</v>
      </c>
      <c r="J95" t="s">
        <v>404</v>
      </c>
      <c r="K95" t="str">
        <f t="shared" si="1"/>
        <v>TS-UC-SEC-ANO-002test_013_strategy_by_pii_type_default</v>
      </c>
    </row>
    <row r="96" spans="1:11" ht="31.2" thickBot="1">
      <c r="A96" s="6" t="s">
        <v>124</v>
      </c>
      <c r="B96" s="6" t="s">
        <v>420</v>
      </c>
      <c r="C96" s="6" t="s">
        <v>520</v>
      </c>
      <c r="D96" s="6"/>
      <c r="E96" s="7"/>
      <c r="F96" s="8" t="s">
        <v>507</v>
      </c>
      <c r="G96" s="13" t="s">
        <v>771</v>
      </c>
      <c r="H96" s="12" t="s">
        <v>407</v>
      </c>
      <c r="J96" t="s">
        <v>404</v>
      </c>
      <c r="K96" t="str">
        <f t="shared" si="1"/>
        <v>TS-UC-SEC-ANO-002test_014_strategy_by_tenant_config</v>
      </c>
    </row>
    <row r="97" spans="1:11" ht="31.2" thickBot="1">
      <c r="A97" s="6" t="s">
        <v>124</v>
      </c>
      <c r="B97" s="6" t="s">
        <v>420</v>
      </c>
      <c r="C97" s="6" t="s">
        <v>521</v>
      </c>
      <c r="D97" s="6"/>
      <c r="E97" s="7"/>
      <c r="F97" s="8" t="s">
        <v>507</v>
      </c>
      <c r="G97" s="13" t="s">
        <v>771</v>
      </c>
      <c r="H97" s="12" t="s">
        <v>407</v>
      </c>
      <c r="J97" t="s">
        <v>404</v>
      </c>
      <c r="K97" t="str">
        <f t="shared" si="1"/>
        <v>TS-UC-SEC-ANO-002test_015_strategy_mixed_per_type</v>
      </c>
    </row>
    <row r="98" spans="1:11" ht="31.2" thickBot="1">
      <c r="A98" s="6" t="s">
        <v>124</v>
      </c>
      <c r="B98" s="6" t="s">
        <v>420</v>
      </c>
      <c r="C98" s="6" t="s">
        <v>522</v>
      </c>
      <c r="D98" s="6"/>
      <c r="E98" s="7"/>
      <c r="F98" s="8" t="s">
        <v>507</v>
      </c>
      <c r="G98" s="13" t="s">
        <v>771</v>
      </c>
      <c r="H98" s="12" t="s">
        <v>407</v>
      </c>
      <c r="J98" t="s">
        <v>404</v>
      </c>
      <c r="K98" t="str">
        <f t="shared" si="1"/>
        <v>TS-UC-SEC-ANO-002test_016_strategy_none_keeps_original</v>
      </c>
    </row>
    <row r="99" spans="1:11" ht="31.2" thickBot="1">
      <c r="A99" s="6" t="s">
        <v>124</v>
      </c>
      <c r="B99" s="6" t="s">
        <v>420</v>
      </c>
      <c r="C99" s="6" t="s">
        <v>523</v>
      </c>
      <c r="D99" s="6"/>
      <c r="E99" s="7"/>
      <c r="F99" s="8" t="s">
        <v>507</v>
      </c>
      <c r="G99" s="13" t="s">
        <v>771</v>
      </c>
      <c r="H99" s="12" t="s">
        <v>407</v>
      </c>
      <c r="J99" t="s">
        <v>404</v>
      </c>
      <c r="K99" t="str">
        <f t="shared" si="1"/>
        <v>TS-UC-SEC-ANO-002test_edge_001_nested_pii_in_pii</v>
      </c>
    </row>
    <row r="100" spans="1:11" ht="31.2" thickBot="1">
      <c r="A100" s="6" t="s">
        <v>124</v>
      </c>
      <c r="B100" s="6" t="s">
        <v>420</v>
      </c>
      <c r="C100" s="6" t="s">
        <v>524</v>
      </c>
      <c r="D100" s="6"/>
      <c r="E100" s="7"/>
      <c r="F100" s="8" t="s">
        <v>507</v>
      </c>
      <c r="G100" s="13" t="s">
        <v>771</v>
      </c>
      <c r="H100" s="12" t="s">
        <v>407</v>
      </c>
      <c r="J100" t="s">
        <v>404</v>
      </c>
      <c r="K100" t="str">
        <f t="shared" si="1"/>
        <v>TS-UC-SEC-ANO-002test_edge_002_overlapping_pii_positions</v>
      </c>
    </row>
    <row r="101" spans="1:11" ht="31.2" thickBot="1">
      <c r="A101" s="6" t="s">
        <v>124</v>
      </c>
      <c r="B101" s="6" t="s">
        <v>420</v>
      </c>
      <c r="C101" s="6" t="s">
        <v>525</v>
      </c>
      <c r="D101" s="6"/>
      <c r="E101" s="7"/>
      <c r="F101" s="8" t="s">
        <v>507</v>
      </c>
      <c r="G101" s="13" t="s">
        <v>771</v>
      </c>
      <c r="H101" s="12" t="s">
        <v>407</v>
      </c>
      <c r="J101" t="s">
        <v>404</v>
      </c>
      <c r="K101" t="str">
        <f t="shared" si="1"/>
        <v>TS-UC-SEC-ANO-002test_edge_003_empty_text_no_error</v>
      </c>
    </row>
    <row r="102" spans="1:11" ht="16.2" thickBot="1">
      <c r="A102" s="6" t="s">
        <v>125</v>
      </c>
      <c r="B102" s="6" t="s">
        <v>420</v>
      </c>
      <c r="C102" s="6" t="s">
        <v>526</v>
      </c>
      <c r="D102" s="6"/>
      <c r="E102" s="7"/>
      <c r="F102" s="8" t="s">
        <v>527</v>
      </c>
      <c r="G102" s="12" t="s">
        <v>771</v>
      </c>
      <c r="H102" s="12" t="s">
        <v>407</v>
      </c>
      <c r="J102" t="s">
        <v>404</v>
      </c>
      <c r="K102" t="str">
        <f t="shared" si="1"/>
        <v>TS-UC-SEC-ANO-003Tests not individually listed</v>
      </c>
    </row>
    <row r="103" spans="1:11" ht="16.2" thickBot="1">
      <c r="A103" s="6" t="s">
        <v>126</v>
      </c>
      <c r="B103" s="6" t="s">
        <v>420</v>
      </c>
      <c r="C103" s="6" t="s">
        <v>526</v>
      </c>
      <c r="D103" s="6"/>
      <c r="E103" s="7"/>
      <c r="F103" s="8" t="s">
        <v>527</v>
      </c>
      <c r="G103" s="12" t="s">
        <v>771</v>
      </c>
      <c r="H103" s="12" t="s">
        <v>407</v>
      </c>
      <c r="J103" t="s">
        <v>404</v>
      </c>
      <c r="K103" t="str">
        <f t="shared" si="1"/>
        <v>TS-UC-SEC-TNT-001Tests not individually listed</v>
      </c>
    </row>
    <row r="104" spans="1:11" ht="16.2" thickBot="1">
      <c r="A104" s="6" t="s">
        <v>127</v>
      </c>
      <c r="B104" s="6" t="s">
        <v>420</v>
      </c>
      <c r="C104" s="6" t="s">
        <v>526</v>
      </c>
      <c r="D104" s="6"/>
      <c r="E104" s="7"/>
      <c r="F104" s="8" t="s">
        <v>527</v>
      </c>
      <c r="G104" s="12" t="s">
        <v>771</v>
      </c>
      <c r="H104" s="12" t="s">
        <v>407</v>
      </c>
      <c r="K104" t="str">
        <f t="shared" si="1"/>
        <v>TS-UC-SEC-JWT-001Tests not individually listed</v>
      </c>
    </row>
    <row r="105" spans="1:11" ht="16.2" thickBot="1">
      <c r="A105" s="6" t="s">
        <v>128</v>
      </c>
      <c r="B105" s="6" t="s">
        <v>420</v>
      </c>
      <c r="C105" s="6" t="s">
        <v>526</v>
      </c>
      <c r="D105" s="6"/>
      <c r="E105" s="7"/>
      <c r="F105" s="8" t="s">
        <v>527</v>
      </c>
      <c r="G105" s="12" t="s">
        <v>771</v>
      </c>
      <c r="H105" s="12" t="s">
        <v>407</v>
      </c>
      <c r="K105" t="str">
        <f t="shared" si="1"/>
        <v>TS-UC-SEC-AUD-001Tests not individually listed</v>
      </c>
    </row>
    <row r="106" spans="1:11" ht="31.2" thickBot="1">
      <c r="A106" s="6" t="s">
        <v>129</v>
      </c>
      <c r="B106" s="6" t="s">
        <v>420</v>
      </c>
      <c r="C106" s="6" t="s">
        <v>528</v>
      </c>
      <c r="D106" s="6"/>
      <c r="E106" s="7"/>
      <c r="F106" s="8" t="s">
        <v>527</v>
      </c>
      <c r="G106" s="12" t="s">
        <v>771</v>
      </c>
      <c r="H106" s="12" t="s">
        <v>407</v>
      </c>
      <c r="J106" t="s">
        <v>404</v>
      </c>
      <c r="K106" t="str">
        <f t="shared" si="1"/>
        <v>TS-UC-SEC-GAM-001test_001_mass_changes_11_in_hour_detected</v>
      </c>
    </row>
    <row r="107" spans="1:11" ht="31.2" thickBot="1">
      <c r="A107" s="6" t="s">
        <v>129</v>
      </c>
      <c r="B107" s="6" t="s">
        <v>420</v>
      </c>
      <c r="C107" s="6" t="s">
        <v>529</v>
      </c>
      <c r="D107" s="6"/>
      <c r="E107" s="7"/>
      <c r="F107" s="8" t="s">
        <v>527</v>
      </c>
      <c r="G107" s="12" t="s">
        <v>771</v>
      </c>
      <c r="H107" s="12" t="s">
        <v>407</v>
      </c>
      <c r="J107" t="s">
        <v>404</v>
      </c>
      <c r="K107" t="str">
        <f t="shared" si="1"/>
        <v>TS-UC-SEC-GAM-001test_002_mass_changes_10_in_hour_allowed</v>
      </c>
    </row>
    <row r="108" spans="1:11" ht="31.2" thickBot="1">
      <c r="A108" s="6" t="s">
        <v>129</v>
      </c>
      <c r="B108" s="6" t="s">
        <v>420</v>
      </c>
      <c r="C108" s="6" t="s">
        <v>530</v>
      </c>
      <c r="D108" s="6"/>
      <c r="E108" s="7"/>
      <c r="F108" s="8" t="s">
        <v>527</v>
      </c>
      <c r="G108" s="12" t="s">
        <v>771</v>
      </c>
      <c r="H108" s="12" t="s">
        <v>407</v>
      </c>
      <c r="J108" t="s">
        <v>404</v>
      </c>
      <c r="K108" t="str">
        <f t="shared" si="1"/>
        <v>TS-UC-SEC-GAM-001test_003_mass_changes_window_reset</v>
      </c>
    </row>
    <row r="109" spans="1:11" ht="31.2" thickBot="1">
      <c r="A109" s="6" t="s">
        <v>129</v>
      </c>
      <c r="B109" s="6" t="s">
        <v>420</v>
      </c>
      <c r="C109" s="6" t="s">
        <v>531</v>
      </c>
      <c r="D109" s="6"/>
      <c r="E109" s="7"/>
      <c r="F109" s="8" t="s">
        <v>527</v>
      </c>
      <c r="G109" s="12" t="s">
        <v>771</v>
      </c>
      <c r="H109" s="12" t="s">
        <v>407</v>
      </c>
      <c r="J109" t="s">
        <v>404</v>
      </c>
      <c r="K109" t="str">
        <f t="shared" si="1"/>
        <v>TS-UC-SEC-GAM-001test_004_resolve_reintroduce_3_times_detected</v>
      </c>
    </row>
    <row r="110" spans="1:11" ht="31.2" thickBot="1">
      <c r="A110" s="6" t="s">
        <v>129</v>
      </c>
      <c r="B110" s="6" t="s">
        <v>420</v>
      </c>
      <c r="C110" s="6" t="s">
        <v>532</v>
      </c>
      <c r="D110" s="6"/>
      <c r="E110" s="7"/>
      <c r="F110" s="8" t="s">
        <v>527</v>
      </c>
      <c r="G110" s="12" t="s">
        <v>771</v>
      </c>
      <c r="H110" s="12" t="s">
        <v>407</v>
      </c>
      <c r="J110" t="s">
        <v>404</v>
      </c>
      <c r="K110" t="str">
        <f t="shared" si="1"/>
        <v>TS-UC-SEC-GAM-001test_005_resolve_reintroduce_2_times_allowed</v>
      </c>
    </row>
    <row r="111" spans="1:11" ht="31.2" thickBot="1">
      <c r="A111" s="6" t="s">
        <v>129</v>
      </c>
      <c r="B111" s="6" t="s">
        <v>420</v>
      </c>
      <c r="C111" s="6" t="s">
        <v>533</v>
      </c>
      <c r="D111" s="6"/>
      <c r="E111" s="7"/>
      <c r="F111" s="8" t="s">
        <v>527</v>
      </c>
      <c r="G111" s="12" t="s">
        <v>771</v>
      </c>
      <c r="H111" s="12" t="s">
        <v>407</v>
      </c>
      <c r="J111" t="s">
        <v>404</v>
      </c>
      <c r="K111" t="str">
        <f t="shared" si="1"/>
        <v>TS-UC-SEC-GAM-001test_006_resolve_reintroduce_different_hash_allowed</v>
      </c>
    </row>
    <row r="112" spans="1:11" ht="31.2" thickBot="1">
      <c r="A112" s="6" t="s">
        <v>129</v>
      </c>
      <c r="B112" s="6" t="s">
        <v>420</v>
      </c>
      <c r="C112" s="6" t="s">
        <v>534</v>
      </c>
      <c r="D112" s="6"/>
      <c r="E112" s="7"/>
      <c r="F112" s="8" t="s">
        <v>527</v>
      </c>
      <c r="G112" s="12" t="s">
        <v>771</v>
      </c>
      <c r="H112" s="12" t="s">
        <v>407</v>
      </c>
      <c r="J112" t="s">
        <v>404</v>
      </c>
      <c r="K112" t="str">
        <f t="shared" si="1"/>
        <v>TS-UC-SEC-GAM-001test_007_high_score_few_docs_detected</v>
      </c>
    </row>
    <row r="113" spans="1:11" ht="31.2" thickBot="1">
      <c r="A113" s="6" t="s">
        <v>129</v>
      </c>
      <c r="B113" s="6" t="s">
        <v>420</v>
      </c>
      <c r="C113" s="6" t="s">
        <v>535</v>
      </c>
      <c r="D113" s="6"/>
      <c r="E113" s="7"/>
      <c r="F113" s="8" t="s">
        <v>527</v>
      </c>
      <c r="G113" s="12" t="s">
        <v>771</v>
      </c>
      <c r="H113" s="12" t="s">
        <v>407</v>
      </c>
      <c r="J113" t="s">
        <v>404</v>
      </c>
      <c r="K113" t="str">
        <f t="shared" si="1"/>
        <v>TS-UC-SEC-GAM-001test_008_high_score_many_docs_allowed</v>
      </c>
    </row>
    <row r="114" spans="1:11" ht="31.2" thickBot="1">
      <c r="A114" s="6" t="s">
        <v>129</v>
      </c>
      <c r="B114" s="6" t="s">
        <v>420</v>
      </c>
      <c r="C114" s="6" t="s">
        <v>536</v>
      </c>
      <c r="D114" s="6"/>
      <c r="E114" s="7"/>
      <c r="F114" s="8" t="s">
        <v>527</v>
      </c>
      <c r="G114" s="12" t="s">
        <v>771</v>
      </c>
      <c r="H114" s="12" t="s">
        <v>407</v>
      </c>
      <c r="J114" t="s">
        <v>404</v>
      </c>
      <c r="K114" t="str">
        <f t="shared" si="1"/>
        <v>TS-UC-SEC-GAM-001test_009_high_score_threshold_boundary</v>
      </c>
    </row>
    <row r="115" spans="1:11" ht="31.2" thickBot="1">
      <c r="A115" s="6" t="s">
        <v>129</v>
      </c>
      <c r="B115" s="6" t="s">
        <v>420</v>
      </c>
      <c r="C115" s="6" t="s">
        <v>537</v>
      </c>
      <c r="D115" s="6"/>
      <c r="E115" s="7"/>
      <c r="F115" s="8" t="s">
        <v>527</v>
      </c>
      <c r="G115" s="12" t="s">
        <v>771</v>
      </c>
      <c r="H115" s="12" t="s">
        <v>407</v>
      </c>
      <c r="J115" t="s">
        <v>404</v>
      </c>
      <c r="K115" t="str">
        <f t="shared" si="1"/>
        <v>TS-UC-SEC-GAM-001test_010_weight_change_25_percent_detected</v>
      </c>
    </row>
    <row r="116" spans="1:11" ht="31.2" thickBot="1">
      <c r="A116" s="6" t="s">
        <v>129</v>
      </c>
      <c r="B116" s="6" t="s">
        <v>420</v>
      </c>
      <c r="C116" s="6" t="s">
        <v>538</v>
      </c>
      <c r="D116" s="6"/>
      <c r="E116" s="7"/>
      <c r="F116" s="8" t="s">
        <v>527</v>
      </c>
      <c r="G116" s="12" t="s">
        <v>771</v>
      </c>
      <c r="H116" s="12" t="s">
        <v>407</v>
      </c>
      <c r="J116" t="s">
        <v>404</v>
      </c>
      <c r="K116" t="str">
        <f t="shared" si="1"/>
        <v>TS-UC-SEC-GAM-001test_011_weight_change_15_percent_allowed</v>
      </c>
    </row>
    <row r="117" spans="1:11" ht="31.2" thickBot="1">
      <c r="A117" s="6" t="s">
        <v>129</v>
      </c>
      <c r="B117" s="6" t="s">
        <v>420</v>
      </c>
      <c r="C117" s="6" t="s">
        <v>539</v>
      </c>
      <c r="D117" s="6"/>
      <c r="E117" s="7"/>
      <c r="F117" s="8" t="s">
        <v>527</v>
      </c>
      <c r="G117" s="12" t="s">
        <v>771</v>
      </c>
      <c r="H117" s="12" t="s">
        <v>407</v>
      </c>
      <c r="J117" t="s">
        <v>404</v>
      </c>
      <c r="K117" t="str">
        <f t="shared" si="1"/>
        <v>TS-UC-SEC-GAM-001test_012_weight_change_tracking_24h_window</v>
      </c>
    </row>
    <row r="118" spans="1:11" ht="31.2" thickBot="1">
      <c r="A118" s="6" t="s">
        <v>129</v>
      </c>
      <c r="B118" s="6" t="s">
        <v>420</v>
      </c>
      <c r="C118" s="6" t="s">
        <v>540</v>
      </c>
      <c r="D118" s="6"/>
      <c r="E118" s="7"/>
      <c r="F118" s="8" t="s">
        <v>527</v>
      </c>
      <c r="G118" s="12" t="s">
        <v>771</v>
      </c>
      <c r="H118" s="12" t="s">
        <v>407</v>
      </c>
      <c r="J118" t="s">
        <v>404</v>
      </c>
      <c r="K118" t="str">
        <f t="shared" si="1"/>
        <v>TS-UC-SEC-GAM-001test_edge_001_multiple_violations_combined</v>
      </c>
    </row>
    <row r="119" spans="1:11" ht="31.2" thickBot="1">
      <c r="A119" s="6" t="s">
        <v>129</v>
      </c>
      <c r="B119" s="6" t="s">
        <v>420</v>
      </c>
      <c r="C119" s="6" t="s">
        <v>541</v>
      </c>
      <c r="D119" s="6"/>
      <c r="E119" s="7"/>
      <c r="F119" s="8" t="s">
        <v>527</v>
      </c>
      <c r="G119" s="12" t="s">
        <v>771</v>
      </c>
      <c r="H119" s="12" t="s">
        <v>407</v>
      </c>
      <c r="J119" t="s">
        <v>404</v>
      </c>
      <c r="K119" t="str">
        <f t="shared" si="1"/>
        <v>TS-UC-SEC-GAM-001test_edge_002_violation_penalty_application</v>
      </c>
    </row>
    <row r="120" spans="1:11" ht="31.2" thickBot="1">
      <c r="A120" s="6" t="s">
        <v>129</v>
      </c>
      <c r="B120" s="6" t="s">
        <v>420</v>
      </c>
      <c r="C120" s="6" t="s">
        <v>542</v>
      </c>
      <c r="D120" s="6"/>
      <c r="E120" s="7"/>
      <c r="F120" s="8" t="s">
        <v>527</v>
      </c>
      <c r="G120" s="12" t="s">
        <v>771</v>
      </c>
      <c r="H120" s="12" t="s">
        <v>407</v>
      </c>
      <c r="J120" t="s">
        <v>404</v>
      </c>
      <c r="K120" t="str">
        <f t="shared" si="1"/>
        <v>TS-UC-SEC-GAM-001test_edge_003_violation_audit_logging</v>
      </c>
    </row>
    <row r="121" spans="1:11" ht="31.2" thickBot="1">
      <c r="A121" s="6" t="s">
        <v>130</v>
      </c>
      <c r="B121" s="6" t="s">
        <v>543</v>
      </c>
      <c r="C121" s="6" t="s">
        <v>544</v>
      </c>
      <c r="D121" s="6"/>
      <c r="E121" s="7"/>
      <c r="F121" s="9" t="s">
        <v>545</v>
      </c>
      <c r="G121" s="12" t="s">
        <v>771</v>
      </c>
      <c r="H121" s="12" t="s">
        <v>407</v>
      </c>
      <c r="I121" t="s">
        <v>803</v>
      </c>
      <c r="J121" t="s">
        <v>404</v>
      </c>
      <c r="K121" t="str">
        <f t="shared" si="1"/>
        <v>TS-UD-DOC-CLS-001test_001_clause_creation_with_all_fields</v>
      </c>
    </row>
    <row r="122" spans="1:11" ht="31.2" thickBot="1">
      <c r="A122" s="6" t="s">
        <v>130</v>
      </c>
      <c r="B122" s="6" t="s">
        <v>543</v>
      </c>
      <c r="C122" s="6" t="s">
        <v>546</v>
      </c>
      <c r="D122" s="6"/>
      <c r="E122" s="7"/>
      <c r="F122" s="9" t="s">
        <v>545</v>
      </c>
      <c r="G122" s="12" t="s">
        <v>771</v>
      </c>
      <c r="H122" s="12" t="s">
        <v>407</v>
      </c>
      <c r="J122" t="s">
        <v>404</v>
      </c>
      <c r="K122" t="str">
        <f t="shared" si="1"/>
        <v>TS-UD-DOC-CLS-001test_002_clause_creation_minimum_fields</v>
      </c>
    </row>
    <row r="123" spans="1:11" ht="31.2" thickBot="1">
      <c r="A123" s="6" t="s">
        <v>130</v>
      </c>
      <c r="B123" s="6" t="s">
        <v>543</v>
      </c>
      <c r="C123" s="6" t="s">
        <v>547</v>
      </c>
      <c r="D123" s="6"/>
      <c r="E123" s="7"/>
      <c r="F123" s="9" t="s">
        <v>545</v>
      </c>
      <c r="G123" s="12" t="s">
        <v>771</v>
      </c>
      <c r="H123" s="12" t="s">
        <v>407</v>
      </c>
      <c r="J123" t="s">
        <v>404</v>
      </c>
      <c r="K123" t="str">
        <f t="shared" si="1"/>
        <v>TS-UD-DOC-CLS-001test_003_clause_creation_fails_without_content</v>
      </c>
    </row>
    <row r="124" spans="1:11" ht="31.2" thickBot="1">
      <c r="A124" s="6" t="s">
        <v>130</v>
      </c>
      <c r="B124" s="6" t="s">
        <v>543</v>
      </c>
      <c r="C124" s="6" t="s">
        <v>548</v>
      </c>
      <c r="D124" s="6"/>
      <c r="E124" s="7"/>
      <c r="F124" s="9" t="s">
        <v>545</v>
      </c>
      <c r="G124" s="12" t="s">
        <v>771</v>
      </c>
      <c r="H124" s="12" t="s">
        <v>407</v>
      </c>
      <c r="J124" t="s">
        <v>404</v>
      </c>
      <c r="K124" t="str">
        <f t="shared" si="1"/>
        <v>TS-UD-DOC-CLS-001test_004_clause_creation_fails_without_document_id</v>
      </c>
    </row>
    <row r="125" spans="1:11" ht="31.2" thickBot="1">
      <c r="A125" s="6" t="s">
        <v>130</v>
      </c>
      <c r="B125" s="6" t="s">
        <v>543</v>
      </c>
      <c r="C125" s="6" t="s">
        <v>549</v>
      </c>
      <c r="D125" s="6"/>
      <c r="E125" s="7"/>
      <c r="F125" s="9" t="s">
        <v>545</v>
      </c>
      <c r="G125" s="12" t="s">
        <v>771</v>
      </c>
      <c r="H125" s="12" t="s">
        <v>407</v>
      </c>
      <c r="J125" t="s">
        <v>404</v>
      </c>
      <c r="K125" t="str">
        <f t="shared" si="1"/>
        <v>TS-UD-DOC-CLS-001test_005_clause_creation_fails_without_tenant_id</v>
      </c>
    </row>
    <row r="126" spans="1:11" ht="31.2" thickBot="1">
      <c r="A126" s="6" t="s">
        <v>130</v>
      </c>
      <c r="B126" s="6" t="s">
        <v>543</v>
      </c>
      <c r="C126" s="6" t="s">
        <v>550</v>
      </c>
      <c r="D126" s="6"/>
      <c r="E126" s="7"/>
      <c r="F126" s="9" t="s">
        <v>545</v>
      </c>
      <c r="G126" s="12" t="s">
        <v>771</v>
      </c>
      <c r="H126" s="12" t="s">
        <v>407</v>
      </c>
      <c r="J126" t="s">
        <v>404</v>
      </c>
      <c r="K126" t="str">
        <f t="shared" si="1"/>
        <v>TS-UD-DOC-CLS-001test_006_clause_immutability_after_creation</v>
      </c>
    </row>
    <row r="127" spans="1:11" ht="31.2" thickBot="1">
      <c r="A127" s="6" t="s">
        <v>130</v>
      </c>
      <c r="B127" s="6" t="s">
        <v>543</v>
      </c>
      <c r="C127" s="6" t="s">
        <v>551</v>
      </c>
      <c r="D127" s="6"/>
      <c r="E127" s="7"/>
      <c r="F127" s="9" t="s">
        <v>545</v>
      </c>
      <c r="G127" s="12" t="s">
        <v>771</v>
      </c>
      <c r="H127" s="12" t="s">
        <v>407</v>
      </c>
      <c r="J127" t="s">
        <v>404</v>
      </c>
      <c r="K127" t="str">
        <f t="shared" si="1"/>
        <v>TS-UD-DOC-CLS-001test_007_clause_number_format_primera</v>
      </c>
    </row>
    <row r="128" spans="1:11" ht="31.2" thickBot="1">
      <c r="A128" s="6" t="s">
        <v>130</v>
      </c>
      <c r="B128" s="6" t="s">
        <v>543</v>
      </c>
      <c r="C128" s="6" t="s">
        <v>552</v>
      </c>
      <c r="D128" s="6"/>
      <c r="E128" s="7"/>
      <c r="F128" s="9" t="s">
        <v>545</v>
      </c>
      <c r="G128" s="12" t="s">
        <v>771</v>
      </c>
      <c r="H128" s="12" t="s">
        <v>407</v>
      </c>
      <c r="J128" t="s">
        <v>404</v>
      </c>
      <c r="K128" t="str">
        <f t="shared" si="1"/>
        <v>TS-UD-DOC-CLS-001test_008_clause_number_format_numeric</v>
      </c>
    </row>
    <row r="129" spans="1:11" ht="31.2" thickBot="1">
      <c r="A129" s="6" t="s">
        <v>130</v>
      </c>
      <c r="B129" s="6" t="s">
        <v>543</v>
      </c>
      <c r="C129" s="6" t="s">
        <v>553</v>
      </c>
      <c r="D129" s="6"/>
      <c r="E129" s="7"/>
      <c r="F129" s="9" t="s">
        <v>545</v>
      </c>
      <c r="G129" s="12" t="s">
        <v>771</v>
      </c>
      <c r="H129" s="12" t="s">
        <v>407</v>
      </c>
      <c r="J129" t="s">
        <v>404</v>
      </c>
      <c r="K129" t="str">
        <f t="shared" si="1"/>
        <v>TS-UD-DOC-CLS-001test_009_clause_number_format_decimal</v>
      </c>
    </row>
    <row r="130" spans="1:11" ht="31.2" thickBot="1">
      <c r="A130" s="6" t="s">
        <v>130</v>
      </c>
      <c r="B130" s="6" t="s">
        <v>543</v>
      </c>
      <c r="C130" s="6" t="s">
        <v>554</v>
      </c>
      <c r="D130" s="6"/>
      <c r="E130" s="7"/>
      <c r="F130" s="9" t="s">
        <v>545</v>
      </c>
      <c r="G130" s="12" t="s">
        <v>771</v>
      </c>
      <c r="H130" s="12" t="s">
        <v>407</v>
      </c>
      <c r="J130" t="s">
        <v>404</v>
      </c>
      <c r="K130" t="str">
        <f t="shared" si="1"/>
        <v>TS-UD-DOC-CLS-001test_010_clause_number_normalization</v>
      </c>
    </row>
    <row r="131" spans="1:11" ht="31.2" thickBot="1">
      <c r="A131" s="6" t="s">
        <v>130</v>
      </c>
      <c r="B131" s="6" t="s">
        <v>543</v>
      </c>
      <c r="C131" s="6" t="s">
        <v>555</v>
      </c>
      <c r="D131" s="6"/>
      <c r="E131" s="7"/>
      <c r="F131" s="9" t="s">
        <v>545</v>
      </c>
      <c r="G131" s="12" t="s">
        <v>771</v>
      </c>
      <c r="H131" s="12" t="s">
        <v>407</v>
      </c>
      <c r="J131" t="s">
        <v>404</v>
      </c>
      <c r="K131" t="str">
        <f t="shared" si="1"/>
        <v>TS-UD-DOC-CLS-001test_011_clause_content_max_length</v>
      </c>
    </row>
    <row r="132" spans="1:11" ht="31.2" thickBot="1">
      <c r="A132" s="6" t="s">
        <v>130</v>
      </c>
      <c r="B132" s="6" t="s">
        <v>543</v>
      </c>
      <c r="C132" s="6" t="s">
        <v>556</v>
      </c>
      <c r="D132" s="6"/>
      <c r="E132" s="7"/>
      <c r="F132" s="9" t="s">
        <v>545</v>
      </c>
      <c r="G132" s="12" t="s">
        <v>771</v>
      </c>
      <c r="H132" s="12" t="s">
        <v>407</v>
      </c>
      <c r="J132" t="s">
        <v>404</v>
      </c>
      <c r="K132" t="str">
        <f t="shared" si="1"/>
        <v>TS-UD-DOC-CLS-001test_012_clause_content_empty_rejected</v>
      </c>
    </row>
    <row r="133" spans="1:11" ht="31.2" thickBot="1">
      <c r="A133" s="6" t="s">
        <v>130</v>
      </c>
      <c r="B133" s="6" t="s">
        <v>543</v>
      </c>
      <c r="C133" s="6" t="s">
        <v>557</v>
      </c>
      <c r="D133" s="6"/>
      <c r="E133" s="7"/>
      <c r="F133" s="9" t="s">
        <v>545</v>
      </c>
      <c r="G133" s="12" t="s">
        <v>771</v>
      </c>
      <c r="H133" s="12" t="s">
        <v>407</v>
      </c>
      <c r="J133" t="s">
        <v>404</v>
      </c>
      <c r="K133" t="str">
        <f t="shared" si="1"/>
        <v>TS-UD-DOC-CLS-001test_013_clause_document_fk_valid</v>
      </c>
    </row>
    <row r="134" spans="1:11" ht="31.2" thickBot="1">
      <c r="A134" s="6" t="s">
        <v>130</v>
      </c>
      <c r="B134" s="6" t="s">
        <v>543</v>
      </c>
      <c r="C134" s="6" t="s">
        <v>558</v>
      </c>
      <c r="D134" s="6"/>
      <c r="E134" s="7"/>
      <c r="F134" s="9" t="s">
        <v>545</v>
      </c>
      <c r="G134" s="12" t="s">
        <v>771</v>
      </c>
      <c r="H134" s="12" t="s">
        <v>407</v>
      </c>
      <c r="J134" t="s">
        <v>404</v>
      </c>
      <c r="K134" t="str">
        <f t="shared" si="1"/>
        <v>TS-UD-DOC-CLS-001test_014_clause_document_fk_invalid_rejected</v>
      </c>
    </row>
    <row r="135" spans="1:11" ht="31.2" thickBot="1">
      <c r="A135" s="6" t="s">
        <v>130</v>
      </c>
      <c r="B135" s="6" t="s">
        <v>543</v>
      </c>
      <c r="C135" s="6" t="s">
        <v>559</v>
      </c>
      <c r="D135" s="6"/>
      <c r="E135" s="7"/>
      <c r="F135" s="9" t="s">
        <v>545</v>
      </c>
      <c r="G135" s="12" t="s">
        <v>771</v>
      </c>
      <c r="H135" s="12" t="s">
        <v>407</v>
      </c>
      <c r="J135" t="s">
        <v>404</v>
      </c>
      <c r="K135" t="str">
        <f t="shared" si="1"/>
        <v>TS-UD-DOC-CLS-001test_015_clause_tenant_fk_valid</v>
      </c>
    </row>
    <row r="136" spans="1:11" ht="31.2" thickBot="1">
      <c r="A136" s="6" t="s">
        <v>130</v>
      </c>
      <c r="B136" s="6" t="s">
        <v>543</v>
      </c>
      <c r="C136" s="6" t="s">
        <v>560</v>
      </c>
      <c r="D136" s="6"/>
      <c r="E136" s="7"/>
      <c r="F136" s="9" t="s">
        <v>545</v>
      </c>
      <c r="G136" s="12" t="s">
        <v>771</v>
      </c>
      <c r="H136" s="12" t="s">
        <v>407</v>
      </c>
      <c r="J136" t="s">
        <v>404</v>
      </c>
      <c r="K136" t="str">
        <f t="shared" si="1"/>
        <v>TS-UD-DOC-CLS-001test_016_clause_tenant_fk_invalid_rejected</v>
      </c>
    </row>
    <row r="137" spans="1:11" ht="31.2" thickBot="1">
      <c r="A137" s="6" t="s">
        <v>130</v>
      </c>
      <c r="B137" s="6" t="s">
        <v>543</v>
      </c>
      <c r="C137" s="6" t="s">
        <v>561</v>
      </c>
      <c r="D137" s="6"/>
      <c r="E137" s="7"/>
      <c r="F137" s="9" t="s">
        <v>545</v>
      </c>
      <c r="G137" s="12" t="s">
        <v>771</v>
      </c>
      <c r="H137" s="12" t="s">
        <v>407</v>
      </c>
      <c r="J137" t="s">
        <v>404</v>
      </c>
      <c r="K137" t="str">
        <f t="shared" si="1"/>
        <v>TS-UD-DOC-CLS-001test_017_clause_on_delete_restrict_document</v>
      </c>
    </row>
    <row r="138" spans="1:11" ht="31.2" thickBot="1">
      <c r="A138" s="6" t="s">
        <v>130</v>
      </c>
      <c r="B138" s="6" t="s">
        <v>543</v>
      </c>
      <c r="C138" s="6" t="s">
        <v>562</v>
      </c>
      <c r="D138" s="6"/>
      <c r="E138" s="7"/>
      <c r="F138" s="9" t="s">
        <v>545</v>
      </c>
      <c r="G138" s="12" t="s">
        <v>771</v>
      </c>
      <c r="H138" s="12" t="s">
        <v>407</v>
      </c>
      <c r="J138" t="s">
        <v>404</v>
      </c>
      <c r="K138" t="str">
        <f t="shared" si="1"/>
        <v>TS-UD-DOC-CLS-001test_018_clause_on_delete_restrict_tenant</v>
      </c>
    </row>
    <row r="139" spans="1:11" ht="31.2" thickBot="1">
      <c r="A139" s="6" t="s">
        <v>130</v>
      </c>
      <c r="B139" s="6" t="s">
        <v>543</v>
      </c>
      <c r="C139" s="6" t="s">
        <v>563</v>
      </c>
      <c r="D139" s="6"/>
      <c r="E139" s="7"/>
      <c r="F139" s="9" t="s">
        <v>545</v>
      </c>
      <c r="G139" s="12" t="s">
        <v>771</v>
      </c>
      <c r="H139" s="12" t="s">
        <v>407</v>
      </c>
      <c r="J139" t="s">
        <v>404</v>
      </c>
      <c r="K139" t="str">
        <f t="shared" si="1"/>
        <v>TS-UD-DOC-CLS-001test_019_clause_embedding_vector_size</v>
      </c>
    </row>
    <row r="140" spans="1:11" ht="31.2" thickBot="1">
      <c r="A140" s="6" t="s">
        <v>130</v>
      </c>
      <c r="B140" s="6" t="s">
        <v>543</v>
      </c>
      <c r="C140" s="6" t="s">
        <v>564</v>
      </c>
      <c r="D140" s="6"/>
      <c r="E140" s="7"/>
      <c r="F140" s="9" t="s">
        <v>545</v>
      </c>
      <c r="G140" s="12" t="s">
        <v>771</v>
      </c>
      <c r="H140" s="12" t="s">
        <v>407</v>
      </c>
      <c r="J140" t="s">
        <v>404</v>
      </c>
      <c r="K140" t="str">
        <f t="shared" si="1"/>
        <v>TS-UD-DOC-CLS-001test_020_clause_embedding_generation</v>
      </c>
    </row>
    <row r="141" spans="1:11" ht="31.2" thickBot="1">
      <c r="A141" s="6" t="s">
        <v>130</v>
      </c>
      <c r="B141" s="6" t="s">
        <v>543</v>
      </c>
      <c r="C141" s="6" t="s">
        <v>565</v>
      </c>
      <c r="D141" s="6"/>
      <c r="E141" s="7"/>
      <c r="F141" s="9" t="s">
        <v>545</v>
      </c>
      <c r="G141" s="12" t="s">
        <v>771</v>
      </c>
      <c r="H141" s="12" t="s">
        <v>407</v>
      </c>
      <c r="J141" t="s">
        <v>404</v>
      </c>
      <c r="K141" t="str">
        <f t="shared" si="1"/>
        <v>TS-UD-DOC-CLS-001test_021_clause_embedding_null_allowed</v>
      </c>
    </row>
    <row r="142" spans="1:11" ht="31.2" thickBot="1">
      <c r="A142" s="6" t="s">
        <v>130</v>
      </c>
      <c r="B142" s="6" t="s">
        <v>543</v>
      </c>
      <c r="C142" s="6" t="s">
        <v>566</v>
      </c>
      <c r="D142" s="6"/>
      <c r="E142" s="7"/>
      <c r="F142" s="9" t="s">
        <v>545</v>
      </c>
      <c r="G142" s="12" t="s">
        <v>771</v>
      </c>
      <c r="H142" s="12" t="s">
        <v>407</v>
      </c>
      <c r="J142" t="s">
        <v>404</v>
      </c>
      <c r="K142" t="str">
        <f t="shared" si="1"/>
        <v>TS-UD-DOC-CLS-001test_022_clause_embedding_update</v>
      </c>
    </row>
    <row r="143" spans="1:11" ht="16.2" thickBot="1">
      <c r="A143" s="6" t="s">
        <v>131</v>
      </c>
      <c r="B143" s="6" t="s">
        <v>543</v>
      </c>
      <c r="C143" s="6" t="s">
        <v>526</v>
      </c>
      <c r="D143" s="6"/>
      <c r="E143" s="7"/>
      <c r="F143" s="9" t="s">
        <v>567</v>
      </c>
      <c r="G143" s="12" t="s">
        <v>771</v>
      </c>
      <c r="H143" s="12" t="s">
        <v>407</v>
      </c>
      <c r="I143" t="s">
        <v>803</v>
      </c>
      <c r="K143" t="str">
        <f t="shared" si="1"/>
        <v>TS-UD-DOC-CLS-002Tests not individually listed</v>
      </c>
    </row>
    <row r="144" spans="1:11" ht="16.2" thickBot="1">
      <c r="A144" s="6" t="s">
        <v>132</v>
      </c>
      <c r="B144" s="6" t="s">
        <v>543</v>
      </c>
      <c r="C144" s="6" t="s">
        <v>526</v>
      </c>
      <c r="D144" s="6"/>
      <c r="E144" s="7"/>
      <c r="F144" s="9" t="s">
        <v>567</v>
      </c>
      <c r="G144" s="12" t="s">
        <v>771</v>
      </c>
      <c r="H144" s="12" t="s">
        <v>407</v>
      </c>
      <c r="K144" t="str">
        <f t="shared" si="1"/>
        <v>TS-UD-DOC-CLS-003Tests not individually listed</v>
      </c>
    </row>
    <row r="145" spans="1:11" ht="31.2" thickBot="1">
      <c r="A145" s="6" t="s">
        <v>133</v>
      </c>
      <c r="B145" s="6" t="s">
        <v>543</v>
      </c>
      <c r="C145" s="6" t="s">
        <v>568</v>
      </c>
      <c r="D145" s="6"/>
      <c r="E145" s="7"/>
      <c r="F145" s="9" t="s">
        <v>567</v>
      </c>
      <c r="G145" s="12" t="s">
        <v>771</v>
      </c>
      <c r="H145" s="12" t="s">
        <v>407</v>
      </c>
      <c r="J145" t="s">
        <v>404</v>
      </c>
      <c r="K145" t="str">
        <f t="shared" si="1"/>
        <v>TS-UD-DOC-ENT-001test_001_date_dd_mm_yyyy_slash</v>
      </c>
    </row>
    <row r="146" spans="1:11" ht="31.2" thickBot="1">
      <c r="A146" s="6" t="s">
        <v>133</v>
      </c>
      <c r="B146" s="6" t="s">
        <v>543</v>
      </c>
      <c r="C146" s="6" t="s">
        <v>569</v>
      </c>
      <c r="D146" s="6"/>
      <c r="E146" s="7"/>
      <c r="F146" s="9" t="s">
        <v>567</v>
      </c>
      <c r="G146" s="12" t="s">
        <v>771</v>
      </c>
      <c r="H146" s="12" t="s">
        <v>407</v>
      </c>
      <c r="J146" t="s">
        <v>404</v>
      </c>
      <c r="K146" t="str">
        <f t="shared" si="1"/>
        <v>TS-UD-DOC-ENT-001test_002_date_yyyy_mm_dd_dash</v>
      </c>
    </row>
    <row r="147" spans="1:11" ht="31.2" thickBot="1">
      <c r="A147" s="6" t="s">
        <v>133</v>
      </c>
      <c r="B147" s="6" t="s">
        <v>543</v>
      </c>
      <c r="C147" s="6" t="s">
        <v>570</v>
      </c>
      <c r="D147" s="6"/>
      <c r="E147" s="7"/>
      <c r="F147" s="9" t="s">
        <v>567</v>
      </c>
      <c r="G147" s="12" t="s">
        <v>771</v>
      </c>
      <c r="H147" s="12" t="s">
        <v>407</v>
      </c>
      <c r="J147" t="s">
        <v>404</v>
      </c>
      <c r="K147" t="str">
        <f t="shared" si="1"/>
        <v>TS-UD-DOC-ENT-001test_003_date_dd_month_yyyy_spanish</v>
      </c>
    </row>
    <row r="148" spans="1:11" ht="31.2" thickBot="1">
      <c r="A148" s="6" t="s">
        <v>133</v>
      </c>
      <c r="B148" s="6" t="s">
        <v>543</v>
      </c>
      <c r="C148" s="6" t="s">
        <v>571</v>
      </c>
      <c r="D148" s="6"/>
      <c r="E148" s="7"/>
      <c r="F148" s="9" t="s">
        <v>567</v>
      </c>
      <c r="G148" s="12" t="s">
        <v>771</v>
      </c>
      <c r="H148" s="12" t="s">
        <v>407</v>
      </c>
      <c r="J148" t="s">
        <v>404</v>
      </c>
      <c r="K148" t="str">
        <f t="shared" si="1"/>
        <v>TS-UD-DOC-ENT-001test_004_date_month_dd_yyyy_english</v>
      </c>
    </row>
    <row r="149" spans="1:11" ht="31.2" thickBot="1">
      <c r="A149" s="6" t="s">
        <v>133</v>
      </c>
      <c r="B149" s="6" t="s">
        <v>543</v>
      </c>
      <c r="C149" s="6" t="s">
        <v>572</v>
      </c>
      <c r="D149" s="6"/>
      <c r="E149" s="7"/>
      <c r="F149" s="9" t="s">
        <v>567</v>
      </c>
      <c r="G149" s="12" t="s">
        <v>771</v>
      </c>
      <c r="H149" s="12" t="s">
        <v>407</v>
      </c>
      <c r="J149" t="s">
        <v>404</v>
      </c>
      <c r="K149" t="str">
        <f t="shared" si="1"/>
        <v>TS-UD-DOC-ENT-001test_005_date_relative_30_days</v>
      </c>
    </row>
    <row r="150" spans="1:11" ht="31.2" thickBot="1">
      <c r="A150" s="6" t="s">
        <v>133</v>
      </c>
      <c r="B150" s="6" t="s">
        <v>543</v>
      </c>
      <c r="C150" s="6" t="s">
        <v>573</v>
      </c>
      <c r="D150" s="6"/>
      <c r="E150" s="7"/>
      <c r="F150" s="9" t="s">
        <v>567</v>
      </c>
      <c r="G150" s="12" t="s">
        <v>771</v>
      </c>
      <c r="H150" s="12" t="s">
        <v>407</v>
      </c>
      <c r="J150" t="s">
        <v>404</v>
      </c>
      <c r="K150" t="str">
        <f t="shared" si="1"/>
        <v>TS-UD-DOC-ENT-001test_006_date_relative_3_months</v>
      </c>
    </row>
    <row r="151" spans="1:11" ht="31.2" thickBot="1">
      <c r="A151" s="6" t="s">
        <v>133</v>
      </c>
      <c r="B151" s="6" t="s">
        <v>543</v>
      </c>
      <c r="C151" s="6" t="s">
        <v>574</v>
      </c>
      <c r="D151" s="6"/>
      <c r="E151" s="7"/>
      <c r="F151" s="9" t="s">
        <v>567</v>
      </c>
      <c r="G151" s="12" t="s">
        <v>771</v>
      </c>
      <c r="H151" s="12" t="s">
        <v>407</v>
      </c>
      <c r="J151" t="s">
        <v>404</v>
      </c>
      <c r="K151" t="str">
        <f t="shared" si="1"/>
        <v>TS-UD-DOC-ENT-001test_007_date_relative_1_year</v>
      </c>
    </row>
    <row r="152" spans="1:11" ht="31.2" thickBot="1">
      <c r="A152" s="6" t="s">
        <v>133</v>
      </c>
      <c r="B152" s="6" t="s">
        <v>543</v>
      </c>
      <c r="C152" s="6" t="s">
        <v>575</v>
      </c>
      <c r="D152" s="6"/>
      <c r="E152" s="7"/>
      <c r="F152" s="9" t="s">
        <v>567</v>
      </c>
      <c r="G152" s="12" t="s">
        <v>771</v>
      </c>
      <c r="H152" s="12" t="s">
        <v>407</v>
      </c>
      <c r="J152" t="s">
        <v>404</v>
      </c>
      <c r="K152" t="str">
        <f t="shared" si="1"/>
        <v>TS-UD-DOC-ENT-001test_008_date_relative_from_date</v>
      </c>
    </row>
    <row r="153" spans="1:11" ht="31.2" thickBot="1">
      <c r="A153" s="6" t="s">
        <v>133</v>
      </c>
      <c r="B153" s="6" t="s">
        <v>543</v>
      </c>
      <c r="C153" s="6" t="s">
        <v>576</v>
      </c>
      <c r="D153" s="6"/>
      <c r="E153" s="7"/>
      <c r="F153" s="9" t="s">
        <v>567</v>
      </c>
      <c r="G153" s="12" t="s">
        <v>771</v>
      </c>
      <c r="H153" s="12" t="s">
        <v>407</v>
      </c>
      <c r="J153" t="s">
        <v>404</v>
      </c>
      <c r="K153" t="str">
        <f t="shared" ref="K153:K216" si="2">CONCATENATE(A153,C153)</f>
        <v>TS-UD-DOC-ENT-001test_009_date_context_entrega</v>
      </c>
    </row>
    <row r="154" spans="1:11" ht="31.2" thickBot="1">
      <c r="A154" s="6" t="s">
        <v>133</v>
      </c>
      <c r="B154" s="6" t="s">
        <v>543</v>
      </c>
      <c r="C154" s="6" t="s">
        <v>577</v>
      </c>
      <c r="D154" s="6"/>
      <c r="E154" s="7"/>
      <c r="F154" s="9" t="s">
        <v>567</v>
      </c>
      <c r="G154" s="12" t="s">
        <v>771</v>
      </c>
      <c r="H154" s="12" t="s">
        <v>407</v>
      </c>
      <c r="J154" t="s">
        <v>404</v>
      </c>
      <c r="K154" t="str">
        <f t="shared" si="2"/>
        <v>TS-UD-DOC-ENT-001test_010_date_context_firma</v>
      </c>
    </row>
    <row r="155" spans="1:11" ht="31.2" thickBot="1">
      <c r="A155" s="6" t="s">
        <v>133</v>
      </c>
      <c r="B155" s="6" t="s">
        <v>543</v>
      </c>
      <c r="C155" s="6" t="s">
        <v>578</v>
      </c>
      <c r="D155" s="6"/>
      <c r="E155" s="7"/>
      <c r="F155" s="9" t="s">
        <v>567</v>
      </c>
      <c r="G155" s="12" t="s">
        <v>771</v>
      </c>
      <c r="H155" s="12" t="s">
        <v>407</v>
      </c>
      <c r="J155" t="s">
        <v>404</v>
      </c>
      <c r="K155" t="str">
        <f t="shared" si="2"/>
        <v>TS-UD-DOC-ENT-001test_011_date_context_inicio</v>
      </c>
    </row>
    <row r="156" spans="1:11" ht="16.2" thickBot="1">
      <c r="A156" s="6" t="s">
        <v>133</v>
      </c>
      <c r="B156" s="6" t="s">
        <v>543</v>
      </c>
      <c r="C156" s="6" t="s">
        <v>579</v>
      </c>
      <c r="D156" s="6"/>
      <c r="E156" s="7"/>
      <c r="F156" s="9" t="s">
        <v>567</v>
      </c>
      <c r="G156" s="12" t="s">
        <v>771</v>
      </c>
      <c r="H156" s="12" t="s">
        <v>407</v>
      </c>
      <c r="J156" t="s">
        <v>404</v>
      </c>
      <c r="K156" t="str">
        <f t="shared" si="2"/>
        <v>TS-UD-DOC-ENT-001test_012_date_context_fin</v>
      </c>
    </row>
    <row r="157" spans="1:11" ht="31.2" thickBot="1">
      <c r="A157" s="6" t="s">
        <v>133</v>
      </c>
      <c r="B157" s="6" t="s">
        <v>543</v>
      </c>
      <c r="C157" s="6" t="s">
        <v>580</v>
      </c>
      <c r="D157" s="6"/>
      <c r="E157" s="7"/>
      <c r="F157" s="9" t="s">
        <v>567</v>
      </c>
      <c r="G157" s="12" t="s">
        <v>771</v>
      </c>
      <c r="H157" s="12" t="s">
        <v>407</v>
      </c>
      <c r="J157" t="s">
        <v>404</v>
      </c>
      <c r="K157" t="str">
        <f t="shared" si="2"/>
        <v>TS-UD-DOC-ENT-001test_013_multiple_dates_extraction</v>
      </c>
    </row>
    <row r="158" spans="1:11" ht="31.2" thickBot="1">
      <c r="A158" s="6" t="s">
        <v>133</v>
      </c>
      <c r="B158" s="6" t="s">
        <v>543</v>
      </c>
      <c r="C158" s="6" t="s">
        <v>581</v>
      </c>
      <c r="D158" s="6"/>
      <c r="E158" s="7"/>
      <c r="F158" s="9" t="s">
        <v>567</v>
      </c>
      <c r="G158" s="12" t="s">
        <v>771</v>
      </c>
      <c r="H158" s="12" t="s">
        <v>407</v>
      </c>
      <c r="J158" t="s">
        <v>404</v>
      </c>
      <c r="K158" t="str">
        <f t="shared" si="2"/>
        <v>TS-UD-DOC-ENT-001test_014_multiple_dates_ordering</v>
      </c>
    </row>
    <row r="159" spans="1:11" ht="31.2" thickBot="1">
      <c r="A159" s="6" t="s">
        <v>133</v>
      </c>
      <c r="B159" s="6" t="s">
        <v>543</v>
      </c>
      <c r="C159" s="6" t="s">
        <v>582</v>
      </c>
      <c r="D159" s="6"/>
      <c r="E159" s="7"/>
      <c r="F159" s="9" t="s">
        <v>567</v>
      </c>
      <c r="G159" s="12" t="s">
        <v>771</v>
      </c>
      <c r="H159" s="12" t="s">
        <v>407</v>
      </c>
      <c r="J159" t="s">
        <v>404</v>
      </c>
      <c r="K159" t="str">
        <f t="shared" si="2"/>
        <v>TS-UD-DOC-ENT-001test_015_date_range_extraction</v>
      </c>
    </row>
    <row r="160" spans="1:11" ht="31.2" thickBot="1">
      <c r="A160" s="6" t="s">
        <v>133</v>
      </c>
      <c r="B160" s="6" t="s">
        <v>543</v>
      </c>
      <c r="C160" s="6" t="s">
        <v>583</v>
      </c>
      <c r="D160" s="6"/>
      <c r="E160" s="7"/>
      <c r="F160" s="9" t="s">
        <v>584</v>
      </c>
      <c r="G160" s="12" t="s">
        <v>771</v>
      </c>
      <c r="H160" s="12" t="s">
        <v>407</v>
      </c>
      <c r="J160" t="s">
        <v>404</v>
      </c>
      <c r="K160" t="str">
        <f t="shared" si="2"/>
        <v>TS-UD-DOC-ENT-001test_016_date_invalid_format_ignored</v>
      </c>
    </row>
    <row r="161" spans="1:11" ht="31.2" thickBot="1">
      <c r="A161" s="6" t="s">
        <v>134</v>
      </c>
      <c r="B161" s="6" t="s">
        <v>543</v>
      </c>
      <c r="C161" s="6" t="s">
        <v>585</v>
      </c>
      <c r="D161" s="6"/>
      <c r="E161" s="7"/>
      <c r="F161" s="9" t="s">
        <v>584</v>
      </c>
      <c r="G161" s="12" t="s">
        <v>771</v>
      </c>
      <c r="H161" s="12" t="s">
        <v>407</v>
      </c>
      <c r="J161" t="s">
        <v>404</v>
      </c>
      <c r="K161" t="str">
        <f t="shared" si="2"/>
        <v>TS-UD-DOC-ENT-002test_001_money_eur_symbol_suffix</v>
      </c>
    </row>
    <row r="162" spans="1:11" ht="31.2" thickBot="1">
      <c r="A162" s="6" t="s">
        <v>134</v>
      </c>
      <c r="B162" s="6" t="s">
        <v>543</v>
      </c>
      <c r="C162" s="6" t="s">
        <v>586</v>
      </c>
      <c r="D162" s="6"/>
      <c r="E162" s="7"/>
      <c r="F162" s="9" t="s">
        <v>584</v>
      </c>
      <c r="G162" s="12" t="s">
        <v>771</v>
      </c>
      <c r="H162" s="12" t="s">
        <v>407</v>
      </c>
      <c r="J162" t="s">
        <v>404</v>
      </c>
      <c r="K162" t="str">
        <f t="shared" si="2"/>
        <v>TS-UD-DOC-ENT-002test_002_money_eur_symbol_prefix</v>
      </c>
    </row>
    <row r="163" spans="1:11" ht="31.2" thickBot="1">
      <c r="A163" s="6" t="s">
        <v>134</v>
      </c>
      <c r="B163" s="6" t="s">
        <v>543</v>
      </c>
      <c r="C163" s="6" t="s">
        <v>587</v>
      </c>
      <c r="D163" s="6"/>
      <c r="E163" s="7"/>
      <c r="F163" s="9" t="s">
        <v>584</v>
      </c>
      <c r="G163" s="12" t="s">
        <v>771</v>
      </c>
      <c r="H163" s="12" t="s">
        <v>407</v>
      </c>
      <c r="J163" t="s">
        <v>404</v>
      </c>
      <c r="K163" t="str">
        <f t="shared" si="2"/>
        <v>TS-UD-DOC-ENT-002test_003_money_eur_word_euros</v>
      </c>
    </row>
    <row r="164" spans="1:11" ht="31.2" thickBot="1">
      <c r="A164" s="6" t="s">
        <v>134</v>
      </c>
      <c r="B164" s="6" t="s">
        <v>543</v>
      </c>
      <c r="C164" s="6" t="s">
        <v>588</v>
      </c>
      <c r="D164" s="6"/>
      <c r="E164" s="7"/>
      <c r="F164" s="9" t="s">
        <v>584</v>
      </c>
      <c r="G164" s="12" t="s">
        <v>771</v>
      </c>
      <c r="H164" s="12" t="s">
        <v>407</v>
      </c>
      <c r="J164" t="s">
        <v>404</v>
      </c>
      <c r="K164" t="str">
        <f t="shared" si="2"/>
        <v>TS-UD-DOC-ENT-002test_004_money_eur_thousands_separator</v>
      </c>
    </row>
    <row r="165" spans="1:11" ht="31.2" thickBot="1">
      <c r="A165" s="6" t="s">
        <v>134</v>
      </c>
      <c r="B165" s="6" t="s">
        <v>543</v>
      </c>
      <c r="C165" s="6" t="s">
        <v>589</v>
      </c>
      <c r="D165" s="6"/>
      <c r="E165" s="7"/>
      <c r="F165" s="9" t="s">
        <v>584</v>
      </c>
      <c r="G165" s="12" t="s">
        <v>771</v>
      </c>
      <c r="H165" s="12" t="s">
        <v>407</v>
      </c>
      <c r="J165" t="s">
        <v>404</v>
      </c>
      <c r="K165" t="str">
        <f t="shared" si="2"/>
        <v>TS-UD-DOC-ENT-002test_005_money_usd_symbol</v>
      </c>
    </row>
    <row r="166" spans="1:11" ht="16.2" thickBot="1">
      <c r="A166" s="6" t="s">
        <v>134</v>
      </c>
      <c r="B166" s="6" t="s">
        <v>543</v>
      </c>
      <c r="C166" s="6" t="s">
        <v>590</v>
      </c>
      <c r="D166" s="6"/>
      <c r="E166" s="7"/>
      <c r="F166" s="9" t="s">
        <v>584</v>
      </c>
      <c r="G166" s="12" t="s">
        <v>771</v>
      </c>
      <c r="H166" s="12" t="s">
        <v>407</v>
      </c>
      <c r="J166" t="s">
        <v>404</v>
      </c>
      <c r="K166" t="str">
        <f t="shared" si="2"/>
        <v>TS-UD-DOC-ENT-002test_006_money_usd_word</v>
      </c>
    </row>
    <row r="167" spans="1:11" ht="31.2" thickBot="1">
      <c r="A167" s="6" t="s">
        <v>134</v>
      </c>
      <c r="B167" s="6" t="s">
        <v>543</v>
      </c>
      <c r="C167" s="6" t="s">
        <v>591</v>
      </c>
      <c r="D167" s="6"/>
      <c r="E167" s="7"/>
      <c r="F167" s="9" t="s">
        <v>584</v>
      </c>
      <c r="G167" s="12" t="s">
        <v>771</v>
      </c>
      <c r="H167" s="12" t="s">
        <v>407</v>
      </c>
      <c r="J167" t="s">
        <v>404</v>
      </c>
      <c r="K167" t="str">
        <f t="shared" si="2"/>
        <v>TS-UD-DOC-ENT-002test_007_money_usd_thousands_separator</v>
      </c>
    </row>
    <row r="168" spans="1:11" ht="31.2" thickBot="1">
      <c r="A168" s="6" t="s">
        <v>134</v>
      </c>
      <c r="B168" s="6" t="s">
        <v>543</v>
      </c>
      <c r="C168" s="6" t="s">
        <v>592</v>
      </c>
      <c r="D168" s="6"/>
      <c r="E168" s="7"/>
      <c r="F168" s="9" t="s">
        <v>584</v>
      </c>
      <c r="G168" s="12" t="s">
        <v>771</v>
      </c>
      <c r="H168" s="12" t="s">
        <v>407</v>
      </c>
      <c r="J168" t="s">
        <v>404</v>
      </c>
      <c r="K168" t="str">
        <f t="shared" si="2"/>
        <v>TS-UD-DOC-ENT-002test_008_money_context_anticipo</v>
      </c>
    </row>
    <row r="169" spans="1:11" ht="31.2" thickBot="1">
      <c r="A169" s="6" t="s">
        <v>134</v>
      </c>
      <c r="B169" s="6" t="s">
        <v>543</v>
      </c>
      <c r="C169" s="6" t="s">
        <v>593</v>
      </c>
      <c r="D169" s="6"/>
      <c r="E169" s="7"/>
      <c r="F169" s="9" t="s">
        <v>584</v>
      </c>
      <c r="G169" s="12" t="s">
        <v>771</v>
      </c>
      <c r="H169" s="12" t="s">
        <v>407</v>
      </c>
      <c r="J169" t="s">
        <v>404</v>
      </c>
      <c r="K169" t="str">
        <f t="shared" si="2"/>
        <v>TS-UD-DOC-ENT-002test_009_money_context_pago_final</v>
      </c>
    </row>
    <row r="170" spans="1:11" ht="31.2" thickBot="1">
      <c r="A170" s="6" t="s">
        <v>134</v>
      </c>
      <c r="B170" s="6" t="s">
        <v>543</v>
      </c>
      <c r="C170" s="6" t="s">
        <v>594</v>
      </c>
      <c r="D170" s="6"/>
      <c r="E170" s="7"/>
      <c r="F170" s="9" t="s">
        <v>584</v>
      </c>
      <c r="G170" s="12" t="s">
        <v>771</v>
      </c>
      <c r="H170" s="12" t="s">
        <v>407</v>
      </c>
      <c r="J170" t="s">
        <v>404</v>
      </c>
      <c r="K170" t="str">
        <f t="shared" si="2"/>
        <v>TS-UD-DOC-ENT-002test_010_money_context_penalizacion</v>
      </c>
    </row>
    <row r="171" spans="1:11" ht="31.2" thickBot="1">
      <c r="A171" s="6" t="s">
        <v>134</v>
      </c>
      <c r="B171" s="6" t="s">
        <v>543</v>
      </c>
      <c r="C171" s="6" t="s">
        <v>595</v>
      </c>
      <c r="D171" s="6"/>
      <c r="E171" s="7"/>
      <c r="F171" s="9" t="s">
        <v>584</v>
      </c>
      <c r="G171" s="12" t="s">
        <v>771</v>
      </c>
      <c r="H171" s="12" t="s">
        <v>407</v>
      </c>
      <c r="J171" t="s">
        <v>404</v>
      </c>
      <c r="K171" t="str">
        <f t="shared" si="2"/>
        <v>TS-UD-DOC-ENT-002test_011_money_context_total</v>
      </c>
    </row>
    <row r="172" spans="1:11" ht="31.2" thickBot="1">
      <c r="A172" s="6" t="s">
        <v>134</v>
      </c>
      <c r="B172" s="6" t="s">
        <v>543</v>
      </c>
      <c r="C172" s="6" t="s">
        <v>596</v>
      </c>
      <c r="D172" s="6"/>
      <c r="E172" s="7"/>
      <c r="F172" s="9" t="s">
        <v>584</v>
      </c>
      <c r="G172" s="12" t="s">
        <v>771</v>
      </c>
      <c r="H172" s="12" t="s">
        <v>407</v>
      </c>
      <c r="J172" t="s">
        <v>404</v>
      </c>
      <c r="K172" t="str">
        <f t="shared" si="2"/>
        <v>TS-UD-DOC-ENT-002test_012_multiple_amounts_extraction</v>
      </c>
    </row>
    <row r="173" spans="1:11" ht="31.2" thickBot="1">
      <c r="A173" s="6" t="s">
        <v>134</v>
      </c>
      <c r="B173" s="6" t="s">
        <v>543</v>
      </c>
      <c r="C173" s="6" t="s">
        <v>597</v>
      </c>
      <c r="D173" s="6"/>
      <c r="E173" s="7"/>
      <c r="F173" s="9" t="s">
        <v>584</v>
      </c>
      <c r="G173" s="12" t="s">
        <v>771</v>
      </c>
      <c r="H173" s="12" t="s">
        <v>407</v>
      </c>
      <c r="J173" t="s">
        <v>404</v>
      </c>
      <c r="K173" t="str">
        <f t="shared" si="2"/>
        <v>TS-UD-DOC-ENT-002test_013_money_percentage_extraction</v>
      </c>
    </row>
    <row r="174" spans="1:11" ht="31.2" thickBot="1">
      <c r="A174" s="6" t="s">
        <v>134</v>
      </c>
      <c r="B174" s="6" t="s">
        <v>543</v>
      </c>
      <c r="C174" s="6" t="s">
        <v>598</v>
      </c>
      <c r="D174" s="6"/>
      <c r="E174" s="7"/>
      <c r="F174" s="9" t="s">
        <v>584</v>
      </c>
      <c r="G174" s="12" t="s">
        <v>771</v>
      </c>
      <c r="H174" s="12" t="s">
        <v>407</v>
      </c>
      <c r="J174" t="s">
        <v>404</v>
      </c>
      <c r="K174" t="str">
        <f t="shared" si="2"/>
        <v>TS-UD-DOC-ENT-002test_014_money_negative_amount</v>
      </c>
    </row>
    <row r="175" spans="1:11" ht="16.2" thickBot="1">
      <c r="A175" s="6" t="s">
        <v>135</v>
      </c>
      <c r="B175" s="6" t="s">
        <v>543</v>
      </c>
      <c r="C175" s="6" t="s">
        <v>526</v>
      </c>
      <c r="D175" s="6"/>
      <c r="E175" s="7"/>
      <c r="F175" s="5"/>
      <c r="J175" t="s">
        <v>404</v>
      </c>
      <c r="K175" t="str">
        <f t="shared" si="2"/>
        <v>TS-UD-DOC-ENT-003Tests not individually listed</v>
      </c>
    </row>
    <row r="176" spans="1:11" ht="16.2" thickBot="1">
      <c r="A176" s="6" t="s">
        <v>136</v>
      </c>
      <c r="B176" s="6" t="s">
        <v>543</v>
      </c>
      <c r="C176" s="6" t="s">
        <v>526</v>
      </c>
      <c r="D176" s="6"/>
      <c r="E176" s="7"/>
      <c r="F176" s="5"/>
      <c r="J176" t="s">
        <v>404</v>
      </c>
      <c r="K176" t="str">
        <f t="shared" si="2"/>
        <v>TS-UD-DOC-ENT-004Tests not individually listed</v>
      </c>
    </row>
    <row r="177" spans="1:11" ht="16.2" thickBot="1">
      <c r="A177" s="6" t="s">
        <v>137</v>
      </c>
      <c r="B177" s="6" t="s">
        <v>543</v>
      </c>
      <c r="C177" s="6" t="s">
        <v>526</v>
      </c>
      <c r="D177" s="6"/>
      <c r="E177" s="7"/>
      <c r="F177" s="5"/>
      <c r="J177" t="s">
        <v>404</v>
      </c>
      <c r="K177" t="str">
        <f t="shared" si="2"/>
        <v>TS-UD-DOC-DOC-001Tests not individually listed</v>
      </c>
    </row>
    <row r="178" spans="1:11" ht="16.2" thickBot="1">
      <c r="A178" s="6" t="s">
        <v>138</v>
      </c>
      <c r="B178" s="6" t="s">
        <v>543</v>
      </c>
      <c r="C178" s="6" t="s">
        <v>526</v>
      </c>
      <c r="D178" s="6"/>
      <c r="E178" s="7"/>
      <c r="F178" s="5"/>
      <c r="J178" t="s">
        <v>404</v>
      </c>
      <c r="K178" t="str">
        <f t="shared" si="2"/>
        <v>TS-UD-DOC-CNF-001Tests not individually listed</v>
      </c>
    </row>
    <row r="179" spans="1:11" ht="16.2" thickBot="1">
      <c r="A179" s="6" t="s">
        <v>139</v>
      </c>
      <c r="B179" s="6" t="s">
        <v>599</v>
      </c>
      <c r="C179" s="6" t="s">
        <v>526</v>
      </c>
      <c r="D179" s="6"/>
      <c r="E179" s="7"/>
      <c r="F179" s="5"/>
      <c r="J179" t="s">
        <v>404</v>
      </c>
      <c r="K179" t="str">
        <f t="shared" si="2"/>
        <v>TS-UD-COH-CAT-001Tests not individually listed</v>
      </c>
    </row>
    <row r="180" spans="1:11" ht="31.2" thickBot="1">
      <c r="A180" s="6" t="s">
        <v>140</v>
      </c>
      <c r="B180" s="6" t="s">
        <v>599</v>
      </c>
      <c r="C180" s="6" t="s">
        <v>600</v>
      </c>
      <c r="D180" s="6"/>
      <c r="E180" s="7"/>
      <c r="F180" s="9" t="s">
        <v>601</v>
      </c>
      <c r="G180" s="12" t="s">
        <v>771</v>
      </c>
      <c r="H180" s="12" t="s">
        <v>407</v>
      </c>
      <c r="I180" t="s">
        <v>809</v>
      </c>
      <c r="J180" t="s">
        <v>404</v>
      </c>
      <c r="K180" t="str">
        <f t="shared" si="2"/>
        <v>TS-UD-COH-RUL-001test_001_r11_wbs_level4_no_activities_alert</v>
      </c>
    </row>
    <row r="181" spans="1:11" ht="31.2" thickBot="1">
      <c r="A181" s="6" t="s">
        <v>140</v>
      </c>
      <c r="B181" s="6" t="s">
        <v>599</v>
      </c>
      <c r="C181" s="6" t="s">
        <v>602</v>
      </c>
      <c r="D181" s="6"/>
      <c r="E181" s="7"/>
      <c r="F181" s="9" t="s">
        <v>601</v>
      </c>
      <c r="G181" s="12" t="s">
        <v>771</v>
      </c>
      <c r="H181" s="12" t="s">
        <v>407</v>
      </c>
      <c r="J181" t="s">
        <v>404</v>
      </c>
      <c r="K181" t="str">
        <f t="shared" si="2"/>
        <v>TS-UD-COH-RUL-001test_002_r11_wbs_level4_with_activities_pass</v>
      </c>
    </row>
    <row r="182" spans="1:11" ht="31.2" thickBot="1">
      <c r="A182" s="6" t="s">
        <v>140</v>
      </c>
      <c r="B182" s="6" t="s">
        <v>599</v>
      </c>
      <c r="C182" s="6" t="s">
        <v>603</v>
      </c>
      <c r="D182" s="6"/>
      <c r="E182" s="7"/>
      <c r="F182" s="9" t="s">
        <v>601</v>
      </c>
      <c r="G182" s="12" t="s">
        <v>771</v>
      </c>
      <c r="H182" s="12" t="s">
        <v>407</v>
      </c>
      <c r="J182" t="s">
        <v>404</v>
      </c>
      <c r="K182" t="str">
        <f t="shared" si="2"/>
        <v>TS-UD-COH-RUL-001test_003_r11_wbs_level3_no_activities_ignored</v>
      </c>
    </row>
    <row r="183" spans="1:11" ht="31.2" thickBot="1">
      <c r="A183" s="6" t="s">
        <v>140</v>
      </c>
      <c r="B183" s="6" t="s">
        <v>599</v>
      </c>
      <c r="C183" s="6" t="s">
        <v>604</v>
      </c>
      <c r="D183" s="6"/>
      <c r="E183" s="7"/>
      <c r="F183" s="9" t="s">
        <v>601</v>
      </c>
      <c r="G183" s="12" t="s">
        <v>771</v>
      </c>
      <c r="H183" s="12" t="s">
        <v>407</v>
      </c>
      <c r="J183" t="s">
        <v>404</v>
      </c>
      <c r="K183" t="str">
        <f t="shared" si="2"/>
        <v>TS-UD-COH-RUL-001test_004_r11_wbs_level2_no_activities_ignored</v>
      </c>
    </row>
    <row r="184" spans="1:11" ht="31.2" thickBot="1">
      <c r="A184" s="6" t="s">
        <v>140</v>
      </c>
      <c r="B184" s="6" t="s">
        <v>599</v>
      </c>
      <c r="C184" s="6" t="s">
        <v>605</v>
      </c>
      <c r="D184" s="6"/>
      <c r="E184" s="7"/>
      <c r="F184" s="9" t="s">
        <v>601</v>
      </c>
      <c r="G184" s="12" t="s">
        <v>771</v>
      </c>
      <c r="H184" s="12" t="s">
        <v>407</v>
      </c>
      <c r="J184" t="s">
        <v>404</v>
      </c>
      <c r="K184" t="str">
        <f t="shared" si="2"/>
        <v>TS-UD-COH-RUL-001test_005_r11_multiple_wbs_level4_violations</v>
      </c>
    </row>
    <row r="185" spans="1:11" ht="31.2" thickBot="1">
      <c r="A185" s="6" t="s">
        <v>140</v>
      </c>
      <c r="B185" s="6" t="s">
        <v>599</v>
      </c>
      <c r="C185" s="6" t="s">
        <v>606</v>
      </c>
      <c r="D185" s="6"/>
      <c r="E185" s="7"/>
      <c r="F185" s="9" t="s">
        <v>601</v>
      </c>
      <c r="G185" s="12" t="s">
        <v>771</v>
      </c>
      <c r="H185" s="12" t="s">
        <v>407</v>
      </c>
      <c r="J185" t="s">
        <v>404</v>
      </c>
      <c r="K185" t="str">
        <f t="shared" si="2"/>
        <v>TS-UD-COH-RUL-001test_006_r11_alert_severity_medium</v>
      </c>
    </row>
    <row r="186" spans="1:11" ht="31.2" thickBot="1">
      <c r="A186" s="6" t="s">
        <v>140</v>
      </c>
      <c r="B186" s="6" t="s">
        <v>599</v>
      </c>
      <c r="C186" s="6" t="s">
        <v>607</v>
      </c>
      <c r="D186" s="6"/>
      <c r="E186" s="7"/>
      <c r="F186" s="9" t="s">
        <v>601</v>
      </c>
      <c r="G186" s="12" t="s">
        <v>771</v>
      </c>
      <c r="H186" s="12" t="s">
        <v>407</v>
      </c>
      <c r="J186" t="s">
        <v>404</v>
      </c>
      <c r="K186" t="str">
        <f t="shared" si="2"/>
        <v>TS-UD-COH-RUL-001test_007_r12_wbs_no_budget_line_alert</v>
      </c>
    </row>
    <row r="187" spans="1:11" ht="31.2" thickBot="1">
      <c r="A187" s="6" t="s">
        <v>140</v>
      </c>
      <c r="B187" s="6" t="s">
        <v>599</v>
      </c>
      <c r="C187" s="6" t="s">
        <v>608</v>
      </c>
      <c r="D187" s="6"/>
      <c r="E187" s="7"/>
      <c r="F187" s="9" t="s">
        <v>601</v>
      </c>
      <c r="G187" s="12" t="s">
        <v>771</v>
      </c>
      <c r="H187" s="12" t="s">
        <v>407</v>
      </c>
      <c r="J187" t="s">
        <v>404</v>
      </c>
      <c r="K187" t="str">
        <f t="shared" si="2"/>
        <v>TS-UD-COH-RUL-001test_008_r12_wbs_with_budget_line_pass</v>
      </c>
    </row>
    <row r="188" spans="1:11" ht="31.2" thickBot="1">
      <c r="A188" s="6" t="s">
        <v>140</v>
      </c>
      <c r="B188" s="6" t="s">
        <v>599</v>
      </c>
      <c r="C188" s="6" t="s">
        <v>609</v>
      </c>
      <c r="D188" s="6"/>
      <c r="E188" s="7"/>
      <c r="F188" s="9" t="s">
        <v>601</v>
      </c>
      <c r="G188" s="12" t="s">
        <v>771</v>
      </c>
      <c r="H188" s="12" t="s">
        <v>407</v>
      </c>
      <c r="J188" t="s">
        <v>404</v>
      </c>
      <c r="K188" t="str">
        <f t="shared" si="2"/>
        <v>TS-UD-COH-RUL-001test_009_r12_wbs_budget_zero_warning</v>
      </c>
    </row>
    <row r="189" spans="1:11" ht="31.2" thickBot="1">
      <c r="A189" s="6" t="s">
        <v>140</v>
      </c>
      <c r="B189" s="6" t="s">
        <v>599</v>
      </c>
      <c r="C189" s="6" t="s">
        <v>610</v>
      </c>
      <c r="D189" s="6"/>
      <c r="E189" s="7"/>
      <c r="F189" s="9" t="s">
        <v>601</v>
      </c>
      <c r="G189" s="12" t="s">
        <v>771</v>
      </c>
      <c r="H189" s="12" t="s">
        <v>407</v>
      </c>
      <c r="J189" t="s">
        <v>404</v>
      </c>
      <c r="K189" t="str">
        <f t="shared" si="2"/>
        <v>TS-UD-COH-RUL-001test_010_r12_multiple_wbs_violations</v>
      </c>
    </row>
    <row r="190" spans="1:11" ht="31.2" thickBot="1">
      <c r="A190" s="6" t="s">
        <v>140</v>
      </c>
      <c r="B190" s="6" t="s">
        <v>599</v>
      </c>
      <c r="C190" s="6" t="s">
        <v>611</v>
      </c>
      <c r="D190" s="6"/>
      <c r="E190" s="7"/>
      <c r="F190" s="9" t="s">
        <v>601</v>
      </c>
      <c r="G190" s="12" t="s">
        <v>771</v>
      </c>
      <c r="H190" s="12" t="s">
        <v>407</v>
      </c>
      <c r="J190" t="s">
        <v>404</v>
      </c>
      <c r="K190" t="str">
        <f t="shared" si="2"/>
        <v>TS-UD-COH-RUL-001test_011_r12_alert_severity_high</v>
      </c>
    </row>
    <row r="191" spans="1:11" ht="31.2" thickBot="1">
      <c r="A191" s="6" t="s">
        <v>140</v>
      </c>
      <c r="B191" s="6" t="s">
        <v>599</v>
      </c>
      <c r="C191" s="6" t="s">
        <v>612</v>
      </c>
      <c r="D191" s="6"/>
      <c r="E191" s="7"/>
      <c r="F191" s="9" t="s">
        <v>601</v>
      </c>
      <c r="G191" s="12" t="s">
        <v>771</v>
      </c>
      <c r="H191" s="12" t="s">
        <v>407</v>
      </c>
      <c r="J191" t="s">
        <v>404</v>
      </c>
      <c r="K191" t="str">
        <f t="shared" si="2"/>
        <v>TS-UD-COH-RUL-001test_012_r12_affected_entities_list</v>
      </c>
    </row>
    <row r="192" spans="1:11" ht="31.2" thickBot="1">
      <c r="A192" s="6" t="s">
        <v>140</v>
      </c>
      <c r="B192" s="6" t="s">
        <v>599</v>
      </c>
      <c r="C192" s="6" t="s">
        <v>613</v>
      </c>
      <c r="D192" s="6"/>
      <c r="E192" s="7"/>
      <c r="F192" s="9" t="s">
        <v>601</v>
      </c>
      <c r="G192" s="12" t="s">
        <v>771</v>
      </c>
      <c r="H192" s="12" t="s">
        <v>407</v>
      </c>
      <c r="J192" t="s">
        <v>404</v>
      </c>
      <c r="K192" t="str">
        <f t="shared" si="2"/>
        <v>TS-UD-COH-RUL-001test_013_r13_scope_clause_no_wbs_alert</v>
      </c>
    </row>
    <row r="193" spans="1:11" ht="31.2" thickBot="1">
      <c r="A193" s="6" t="s">
        <v>140</v>
      </c>
      <c r="B193" s="6" t="s">
        <v>599</v>
      </c>
      <c r="C193" s="6" t="s">
        <v>614</v>
      </c>
      <c r="D193" s="6"/>
      <c r="E193" s="7"/>
      <c r="F193" s="9" t="s">
        <v>601</v>
      </c>
      <c r="G193" s="12" t="s">
        <v>771</v>
      </c>
      <c r="H193" s="12" t="s">
        <v>407</v>
      </c>
      <c r="J193" t="s">
        <v>404</v>
      </c>
      <c r="K193" t="str">
        <f t="shared" si="2"/>
        <v>TS-UD-COH-RUL-001test_014_r13_scope_clause_with_wbs_pass</v>
      </c>
    </row>
    <row r="194" spans="1:11" ht="31.2" thickBot="1">
      <c r="A194" s="6" t="s">
        <v>140</v>
      </c>
      <c r="B194" s="6" t="s">
        <v>599</v>
      </c>
      <c r="C194" s="6" t="s">
        <v>615</v>
      </c>
      <c r="D194" s="6"/>
      <c r="E194" s="7"/>
      <c r="F194" s="9" t="s">
        <v>601</v>
      </c>
      <c r="G194" s="12" t="s">
        <v>771</v>
      </c>
      <c r="H194" s="12" t="s">
        <v>407</v>
      </c>
      <c r="J194" t="s">
        <v>404</v>
      </c>
      <c r="K194" t="str">
        <f t="shared" si="2"/>
        <v>TS-UD-COH-RUL-001test_015_r13_partial_coverage_calculation</v>
      </c>
    </row>
    <row r="195" spans="1:11" ht="31.2" thickBot="1">
      <c r="A195" s="6" t="s">
        <v>140</v>
      </c>
      <c r="B195" s="6" t="s">
        <v>599</v>
      </c>
      <c r="C195" s="6" t="s">
        <v>616</v>
      </c>
      <c r="D195" s="6"/>
      <c r="E195" s="7"/>
      <c r="F195" s="9" t="s">
        <v>601</v>
      </c>
      <c r="G195" s="12" t="s">
        <v>771</v>
      </c>
      <c r="H195" s="12" t="s">
        <v>407</v>
      </c>
      <c r="J195" t="s">
        <v>404</v>
      </c>
      <c r="K195" t="str">
        <f t="shared" si="2"/>
        <v>TS-UD-COH-RUL-001test_016_r13_coverage_percentage_80</v>
      </c>
    </row>
    <row r="196" spans="1:11" ht="31.2" thickBot="1">
      <c r="A196" s="6" t="s">
        <v>140</v>
      </c>
      <c r="B196" s="6" t="s">
        <v>599</v>
      </c>
      <c r="C196" s="6" t="s">
        <v>617</v>
      </c>
      <c r="D196" s="6"/>
      <c r="E196" s="7"/>
      <c r="F196" s="9" t="s">
        <v>601</v>
      </c>
      <c r="G196" s="12" t="s">
        <v>771</v>
      </c>
      <c r="H196" s="12" t="s">
        <v>407</v>
      </c>
      <c r="J196" t="s">
        <v>404</v>
      </c>
      <c r="K196" t="str">
        <f t="shared" si="2"/>
        <v>TS-UD-COH-RUL-001test_017_r13_uncovered_clauses_list</v>
      </c>
    </row>
    <row r="197" spans="1:11" ht="31.2" thickBot="1">
      <c r="A197" s="6" t="s">
        <v>140</v>
      </c>
      <c r="B197" s="6" t="s">
        <v>599</v>
      </c>
      <c r="C197" s="6" t="s">
        <v>618</v>
      </c>
      <c r="D197" s="6"/>
      <c r="E197" s="7"/>
      <c r="F197" s="9" t="s">
        <v>619</v>
      </c>
      <c r="G197" s="12" t="s">
        <v>771</v>
      </c>
      <c r="H197" s="12" t="s">
        <v>407</v>
      </c>
      <c r="J197" t="s">
        <v>404</v>
      </c>
      <c r="K197" t="str">
        <f t="shared" si="2"/>
        <v>TS-UD-COH-RUL-001test_018_r13_alert_severity_high</v>
      </c>
    </row>
    <row r="198" spans="1:11" ht="31.2" thickBot="1">
      <c r="A198" s="6" t="s">
        <v>141</v>
      </c>
      <c r="B198" s="6" t="s">
        <v>599</v>
      </c>
      <c r="C198" s="6" t="s">
        <v>620</v>
      </c>
      <c r="D198" s="6"/>
      <c r="E198" s="7"/>
      <c r="F198" s="9" t="s">
        <v>619</v>
      </c>
      <c r="G198" s="12" t="s">
        <v>771</v>
      </c>
      <c r="H198" s="12" t="s">
        <v>407</v>
      </c>
      <c r="J198" t="s">
        <v>404</v>
      </c>
      <c r="K198" t="str">
        <f t="shared" si="2"/>
        <v>TS-UD-COH-RUL-002test_001_r6_deviation_10_percent_alert</v>
      </c>
    </row>
    <row r="199" spans="1:11" ht="31.2" thickBot="1">
      <c r="A199" s="6" t="s">
        <v>141</v>
      </c>
      <c r="B199" s="6" t="s">
        <v>599</v>
      </c>
      <c r="C199" s="6" t="s">
        <v>621</v>
      </c>
      <c r="D199" s="6"/>
      <c r="E199" s="7"/>
      <c r="F199" s="9" t="s">
        <v>619</v>
      </c>
      <c r="G199" s="12" t="s">
        <v>771</v>
      </c>
      <c r="H199" s="12" t="s">
        <v>407</v>
      </c>
      <c r="J199" t="s">
        <v>404</v>
      </c>
      <c r="K199" t="str">
        <f t="shared" si="2"/>
        <v>TS-UD-COH-RUL-002test_002_r6_deviation_5_percent_pass</v>
      </c>
    </row>
    <row r="200" spans="1:11" ht="31.2" thickBot="1">
      <c r="A200" s="6" t="s">
        <v>141</v>
      </c>
      <c r="B200" s="6" t="s">
        <v>599</v>
      </c>
      <c r="C200" s="6" t="s">
        <v>622</v>
      </c>
      <c r="D200" s="6"/>
      <c r="E200" s="7"/>
      <c r="F200" s="9" t="s">
        <v>619</v>
      </c>
      <c r="G200" s="12" t="s">
        <v>771</v>
      </c>
      <c r="H200" s="12" t="s">
        <v>407</v>
      </c>
      <c r="J200" t="s">
        <v>404</v>
      </c>
      <c r="K200" t="str">
        <f t="shared" si="2"/>
        <v>TS-UD-COH-RUL-002test_003_r6_deviation_4_9_percent_pass</v>
      </c>
    </row>
    <row r="201" spans="1:11" ht="31.2" thickBot="1">
      <c r="A201" s="6" t="s">
        <v>141</v>
      </c>
      <c r="B201" s="6" t="s">
        <v>599</v>
      </c>
      <c r="C201" s="6" t="s">
        <v>623</v>
      </c>
      <c r="D201" s="6"/>
      <c r="E201" s="7"/>
      <c r="F201" s="9" t="s">
        <v>619</v>
      </c>
      <c r="G201" s="12" t="s">
        <v>771</v>
      </c>
      <c r="H201" s="12" t="s">
        <v>407</v>
      </c>
      <c r="J201" t="s">
        <v>404</v>
      </c>
      <c r="K201" t="str">
        <f t="shared" si="2"/>
        <v>TS-UD-COH-RUL-002test_004_r6_over_budget_critical</v>
      </c>
    </row>
    <row r="202" spans="1:11" ht="31.2" thickBot="1">
      <c r="A202" s="6" t="s">
        <v>141</v>
      </c>
      <c r="B202" s="6" t="s">
        <v>599</v>
      </c>
      <c r="C202" s="6" t="s">
        <v>624</v>
      </c>
      <c r="D202" s="6"/>
      <c r="E202" s="7"/>
      <c r="F202" s="9" t="s">
        <v>619</v>
      </c>
      <c r="G202" s="12" t="s">
        <v>771</v>
      </c>
      <c r="H202" s="12" t="s">
        <v>407</v>
      </c>
      <c r="J202" t="s">
        <v>404</v>
      </c>
      <c r="K202" t="str">
        <f t="shared" si="2"/>
        <v>TS-UD-COH-RUL-002test_005_r6_under_budget_warning</v>
      </c>
    </row>
    <row r="203" spans="1:11" ht="31.2" thickBot="1">
      <c r="A203" s="6" t="s">
        <v>141</v>
      </c>
      <c r="B203" s="6" t="s">
        <v>599</v>
      </c>
      <c r="C203" s="6" t="s">
        <v>625</v>
      </c>
      <c r="D203" s="6"/>
      <c r="E203" s="7"/>
      <c r="F203" s="9" t="s">
        <v>619</v>
      </c>
      <c r="G203" s="12" t="s">
        <v>771</v>
      </c>
      <c r="H203" s="12" t="s">
        <v>407</v>
      </c>
      <c r="J203" t="s">
        <v>404</v>
      </c>
      <c r="K203" t="str">
        <f t="shared" si="2"/>
        <v>TS-UD-COH-RUL-002test_006_r6_exact_match_pass</v>
      </c>
    </row>
    <row r="204" spans="1:11" ht="31.2" thickBot="1">
      <c r="A204" s="6" t="s">
        <v>141</v>
      </c>
      <c r="B204" s="6" t="s">
        <v>599</v>
      </c>
      <c r="C204" s="6" t="s">
        <v>626</v>
      </c>
      <c r="D204" s="6"/>
      <c r="E204" s="7"/>
      <c r="F204" s="9" t="s">
        <v>619</v>
      </c>
      <c r="G204" s="12" t="s">
        <v>771</v>
      </c>
      <c r="H204" s="12" t="s">
        <v>407</v>
      </c>
      <c r="J204" t="s">
        <v>404</v>
      </c>
      <c r="K204" t="str">
        <f t="shared" si="2"/>
        <v>TS-UD-COH-RUL-002test_007_r15_bom_no_budget_alert</v>
      </c>
    </row>
    <row r="205" spans="1:11" ht="31.2" thickBot="1">
      <c r="A205" s="6" t="s">
        <v>141</v>
      </c>
      <c r="B205" s="6" t="s">
        <v>599</v>
      </c>
      <c r="C205" s="6" t="s">
        <v>627</v>
      </c>
      <c r="D205" s="6"/>
      <c r="E205" s="7"/>
      <c r="F205" s="9" t="s">
        <v>619</v>
      </c>
      <c r="G205" s="12" t="s">
        <v>771</v>
      </c>
      <c r="H205" s="12" t="s">
        <v>407</v>
      </c>
      <c r="J205" t="s">
        <v>404</v>
      </c>
      <c r="K205" t="str">
        <f t="shared" si="2"/>
        <v>TS-UD-COH-RUL-002test_008_r15_bom_with_budget_pass</v>
      </c>
    </row>
    <row r="206" spans="1:11" ht="31.2" thickBot="1">
      <c r="A206" s="6" t="s">
        <v>141</v>
      </c>
      <c r="B206" s="6" t="s">
        <v>599</v>
      </c>
      <c r="C206" s="6" t="s">
        <v>628</v>
      </c>
      <c r="D206" s="6"/>
      <c r="E206" s="7"/>
      <c r="F206" s="9" t="s">
        <v>619</v>
      </c>
      <c r="G206" s="12" t="s">
        <v>771</v>
      </c>
      <c r="H206" s="12" t="s">
        <v>407</v>
      </c>
      <c r="J206" t="s">
        <v>404</v>
      </c>
      <c r="K206" t="str">
        <f t="shared" si="2"/>
        <v>TS-UD-COH-RUL-002test_009_r15_bom_client_provided_exception</v>
      </c>
    </row>
    <row r="207" spans="1:11" ht="31.2" thickBot="1">
      <c r="A207" s="6" t="s">
        <v>141</v>
      </c>
      <c r="B207" s="6" t="s">
        <v>599</v>
      </c>
      <c r="C207" s="6" t="s">
        <v>629</v>
      </c>
      <c r="D207" s="6"/>
      <c r="E207" s="7"/>
      <c r="F207" s="9" t="s">
        <v>619</v>
      </c>
      <c r="G207" s="12" t="s">
        <v>771</v>
      </c>
      <c r="H207" s="12" t="s">
        <v>407</v>
      </c>
      <c r="J207" t="s">
        <v>404</v>
      </c>
      <c r="K207" t="str">
        <f t="shared" si="2"/>
        <v>TS-UD-COH-RUL-002test_010_r15_multiple_bom_violations</v>
      </c>
    </row>
    <row r="208" spans="1:11" ht="31.2" thickBot="1">
      <c r="A208" s="6" t="s">
        <v>141</v>
      </c>
      <c r="B208" s="6" t="s">
        <v>599</v>
      </c>
      <c r="C208" s="6" t="s">
        <v>630</v>
      </c>
      <c r="D208" s="6"/>
      <c r="E208" s="7"/>
      <c r="F208" s="9" t="s">
        <v>619</v>
      </c>
      <c r="G208" s="12" t="s">
        <v>771</v>
      </c>
      <c r="H208" s="12" t="s">
        <v>407</v>
      </c>
      <c r="J208" t="s">
        <v>404</v>
      </c>
      <c r="K208" t="str">
        <f t="shared" si="2"/>
        <v>TS-UD-COH-RUL-002test_011_r15_affected_items_list</v>
      </c>
    </row>
    <row r="209" spans="1:11" ht="31.2" thickBot="1">
      <c r="A209" s="6" t="s">
        <v>141</v>
      </c>
      <c r="B209" s="6" t="s">
        <v>599</v>
      </c>
      <c r="C209" s="6" t="s">
        <v>631</v>
      </c>
      <c r="D209" s="6"/>
      <c r="E209" s="7"/>
      <c r="F209" s="9" t="s">
        <v>619</v>
      </c>
      <c r="G209" s="12" t="s">
        <v>771</v>
      </c>
      <c r="H209" s="12" t="s">
        <v>407</v>
      </c>
      <c r="J209" t="s">
        <v>404</v>
      </c>
      <c r="K209" t="str">
        <f t="shared" si="2"/>
        <v>TS-UD-COH-RUL-002test_012_r16_deviation_11_percent_alert</v>
      </c>
    </row>
    <row r="210" spans="1:11" ht="31.2" thickBot="1">
      <c r="A210" s="6" t="s">
        <v>141</v>
      </c>
      <c r="B210" s="6" t="s">
        <v>599</v>
      </c>
      <c r="C210" s="6" t="s">
        <v>632</v>
      </c>
      <c r="D210" s="6"/>
      <c r="E210" s="7"/>
      <c r="F210" s="9" t="s">
        <v>619</v>
      </c>
      <c r="G210" s="12" t="s">
        <v>771</v>
      </c>
      <c r="H210" s="12" t="s">
        <v>407</v>
      </c>
      <c r="J210" t="s">
        <v>404</v>
      </c>
      <c r="K210" t="str">
        <f t="shared" si="2"/>
        <v>TS-UD-COH-RUL-002test_013_r16_deviation_10_percent_pass</v>
      </c>
    </row>
    <row r="211" spans="1:11" ht="31.2" thickBot="1">
      <c r="A211" s="6" t="s">
        <v>141</v>
      </c>
      <c r="B211" s="6" t="s">
        <v>599</v>
      </c>
      <c r="C211" s="6" t="s">
        <v>633</v>
      </c>
      <c r="D211" s="6"/>
      <c r="E211" s="7"/>
      <c r="F211" s="9" t="s">
        <v>619</v>
      </c>
      <c r="G211" s="12" t="s">
        <v>771</v>
      </c>
      <c r="H211" s="12" t="s">
        <v>407</v>
      </c>
      <c r="J211" t="s">
        <v>404</v>
      </c>
      <c r="K211" t="str">
        <f t="shared" si="2"/>
        <v>TS-UD-COH-RUL-002test_014_r16_over_budget_critical</v>
      </c>
    </row>
    <row r="212" spans="1:11" ht="31.2" thickBot="1">
      <c r="A212" s="6" t="s">
        <v>141</v>
      </c>
      <c r="B212" s="6" t="s">
        <v>599</v>
      </c>
      <c r="C212" s="6" t="s">
        <v>634</v>
      </c>
      <c r="D212" s="6"/>
      <c r="E212" s="7"/>
      <c r="F212" s="9" t="s">
        <v>619</v>
      </c>
      <c r="G212" s="12" t="s">
        <v>771</v>
      </c>
      <c r="H212" s="12" t="s">
        <v>407</v>
      </c>
      <c r="J212" t="s">
        <v>404</v>
      </c>
      <c r="K212" t="str">
        <f t="shared" si="2"/>
        <v>TS-UD-COH-RUL-002test_015_r16_under_budget_different_severity</v>
      </c>
    </row>
    <row r="213" spans="1:11" ht="31.2" thickBot="1">
      <c r="A213" s="6" t="s">
        <v>141</v>
      </c>
      <c r="B213" s="6" t="s">
        <v>599</v>
      </c>
      <c r="C213" s="6" t="s">
        <v>635</v>
      </c>
      <c r="D213" s="6"/>
      <c r="E213" s="7"/>
      <c r="F213" s="9" t="s">
        <v>619</v>
      </c>
      <c r="G213" s="12" t="s">
        <v>771</v>
      </c>
      <c r="H213" s="12" t="s">
        <v>407</v>
      </c>
      <c r="J213" t="s">
        <v>404</v>
      </c>
      <c r="K213" t="str">
        <f t="shared" si="2"/>
        <v>TS-UD-COH-RUL-002test_016_r16_trend_calculation</v>
      </c>
    </row>
    <row r="214" spans="1:11" ht="31.2" thickBot="1">
      <c r="A214" s="6" t="s">
        <v>142</v>
      </c>
      <c r="B214" s="6" t="s">
        <v>599</v>
      </c>
      <c r="C214" s="6" t="s">
        <v>636</v>
      </c>
      <c r="D214" s="6"/>
      <c r="E214" s="7"/>
      <c r="F214" s="9" t="s">
        <v>637</v>
      </c>
      <c r="G214" s="12" t="s">
        <v>771</v>
      </c>
      <c r="H214" s="12" t="s">
        <v>407</v>
      </c>
      <c r="I214" t="s">
        <v>809</v>
      </c>
      <c r="J214" t="s">
        <v>404</v>
      </c>
      <c r="K214" t="str">
        <f t="shared" si="2"/>
        <v>TS-UD-COH-RUL-003test_001_r1_dates_mismatch_alert</v>
      </c>
    </row>
    <row r="215" spans="1:11" ht="31.2" thickBot="1">
      <c r="A215" s="6" t="s">
        <v>142</v>
      </c>
      <c r="B215" s="6" t="s">
        <v>599</v>
      </c>
      <c r="C215" s="6" t="s">
        <v>638</v>
      </c>
      <c r="D215" s="6"/>
      <c r="E215" s="7"/>
      <c r="F215" s="9" t="s">
        <v>637</v>
      </c>
      <c r="G215" s="12" t="s">
        <v>771</v>
      </c>
      <c r="H215" s="12" t="s">
        <v>407</v>
      </c>
      <c r="J215" t="s">
        <v>404</v>
      </c>
      <c r="K215" t="str">
        <f t="shared" si="2"/>
        <v>TS-UD-COH-RUL-003test_002_r1_dates_match_pass</v>
      </c>
    </row>
    <row r="216" spans="1:11" ht="31.2" thickBot="1">
      <c r="A216" s="6" t="s">
        <v>142</v>
      </c>
      <c r="B216" s="6" t="s">
        <v>599</v>
      </c>
      <c r="C216" s="6" t="s">
        <v>639</v>
      </c>
      <c r="D216" s="6"/>
      <c r="E216" s="7"/>
      <c r="F216" s="9" t="s">
        <v>637</v>
      </c>
      <c r="G216" s="12" t="s">
        <v>771</v>
      </c>
      <c r="H216" s="12" t="s">
        <v>407</v>
      </c>
      <c r="J216" t="s">
        <v>404</v>
      </c>
      <c r="K216" t="str">
        <f t="shared" si="2"/>
        <v>TS-UD-COH-RUL-003test_003_r1_schedule_late_critical</v>
      </c>
    </row>
    <row r="217" spans="1:11" ht="31.2" thickBot="1">
      <c r="A217" s="6" t="s">
        <v>142</v>
      </c>
      <c r="B217" s="6" t="s">
        <v>599</v>
      </c>
      <c r="C217" s="6" t="s">
        <v>640</v>
      </c>
      <c r="D217" s="6"/>
      <c r="E217" s="7"/>
      <c r="F217" s="9" t="s">
        <v>637</v>
      </c>
      <c r="G217" s="12" t="s">
        <v>771</v>
      </c>
      <c r="H217" s="12" t="s">
        <v>407</v>
      </c>
      <c r="J217" t="s">
        <v>404</v>
      </c>
      <c r="K217" t="str">
        <f t="shared" ref="K217:K280" si="3">CONCATENATE(A217,C217)</f>
        <v>TS-UD-COH-RUL-003test_004_r1_schedule_early_warning</v>
      </c>
    </row>
    <row r="218" spans="1:11" ht="31.2" thickBot="1">
      <c r="A218" s="6" t="s">
        <v>142</v>
      </c>
      <c r="B218" s="6" t="s">
        <v>599</v>
      </c>
      <c r="C218" s="6" t="s">
        <v>641</v>
      </c>
      <c r="D218" s="6"/>
      <c r="E218" s="7"/>
      <c r="F218" s="9" t="s">
        <v>637</v>
      </c>
      <c r="G218" s="12" t="s">
        <v>771</v>
      </c>
      <c r="H218" s="12" t="s">
        <v>407</v>
      </c>
      <c r="J218" t="s">
        <v>404</v>
      </c>
      <c r="K218" t="str">
        <f t="shared" si="3"/>
        <v>TS-UD-COH-RUL-003test_005_r1_delta_days_calculation</v>
      </c>
    </row>
    <row r="219" spans="1:11" ht="31.2" thickBot="1">
      <c r="A219" s="6" t="s">
        <v>142</v>
      </c>
      <c r="B219" s="6" t="s">
        <v>599</v>
      </c>
      <c r="C219" s="6" t="s">
        <v>642</v>
      </c>
      <c r="D219" s="6"/>
      <c r="E219" s="7"/>
      <c r="F219" s="9" t="s">
        <v>637</v>
      </c>
      <c r="G219" s="12" t="s">
        <v>771</v>
      </c>
      <c r="H219" s="12" t="s">
        <v>407</v>
      </c>
      <c r="J219" t="s">
        <v>404</v>
      </c>
      <c r="K219" t="str">
        <f t="shared" si="3"/>
        <v>TS-UD-COH-RUL-003test_006_r2_milestone_no_activity_alert</v>
      </c>
    </row>
    <row r="220" spans="1:11" ht="31.2" thickBot="1">
      <c r="A220" s="6" t="s">
        <v>142</v>
      </c>
      <c r="B220" s="6" t="s">
        <v>599</v>
      </c>
      <c r="C220" s="6" t="s">
        <v>643</v>
      </c>
      <c r="D220" s="6"/>
      <c r="E220" s="7"/>
      <c r="F220" s="9" t="s">
        <v>637</v>
      </c>
      <c r="G220" s="12" t="s">
        <v>771</v>
      </c>
      <c r="H220" s="12" t="s">
        <v>407</v>
      </c>
      <c r="J220" t="s">
        <v>404</v>
      </c>
      <c r="K220" t="str">
        <f t="shared" si="3"/>
        <v>TS-UD-COH-RUL-003test_007_r2_milestone_with_activity_pass</v>
      </c>
    </row>
    <row r="221" spans="1:11" ht="31.2" thickBot="1">
      <c r="A221" s="6" t="s">
        <v>142</v>
      </c>
      <c r="B221" s="6" t="s">
        <v>599</v>
      </c>
      <c r="C221" s="6" t="s">
        <v>644</v>
      </c>
      <c r="D221" s="6"/>
      <c r="E221" s="7"/>
      <c r="F221" s="9" t="s">
        <v>637</v>
      </c>
      <c r="G221" s="12" t="s">
        <v>771</v>
      </c>
      <c r="H221" s="12" t="s">
        <v>407</v>
      </c>
      <c r="J221" t="s">
        <v>404</v>
      </c>
      <c r="K221" t="str">
        <f t="shared" si="3"/>
        <v>TS-UD-COH-RUL-003test_008_r2_milestone_date_mismatch_alert</v>
      </c>
    </row>
    <row r="222" spans="1:11" ht="31.2" thickBot="1">
      <c r="A222" s="6" t="s">
        <v>142</v>
      </c>
      <c r="B222" s="6" t="s">
        <v>599</v>
      </c>
      <c r="C222" s="6" t="s">
        <v>645</v>
      </c>
      <c r="D222" s="6"/>
      <c r="E222" s="7"/>
      <c r="F222" s="9" t="s">
        <v>637</v>
      </c>
      <c r="G222" s="12" t="s">
        <v>771</v>
      </c>
      <c r="H222" s="12" t="s">
        <v>407</v>
      </c>
      <c r="J222" t="s">
        <v>404</v>
      </c>
      <c r="K222" t="str">
        <f t="shared" si="3"/>
        <v>TS-UD-COH-RUL-003test_009_r2_multiple_milestones_violations</v>
      </c>
    </row>
    <row r="223" spans="1:11" ht="31.2" thickBot="1">
      <c r="A223" s="6" t="s">
        <v>142</v>
      </c>
      <c r="B223" s="6" t="s">
        <v>599</v>
      </c>
      <c r="C223" s="6" t="s">
        <v>646</v>
      </c>
      <c r="D223" s="6"/>
      <c r="E223" s="7"/>
      <c r="F223" s="9" t="s">
        <v>637</v>
      </c>
      <c r="G223" s="12" t="s">
        <v>771</v>
      </c>
      <c r="H223" s="12" t="s">
        <v>407</v>
      </c>
      <c r="J223" t="s">
        <v>404</v>
      </c>
      <c r="K223" t="str">
        <f t="shared" si="3"/>
        <v>TS-UD-COH-RUL-003test_010_r2_unlinked_milestones_list</v>
      </c>
    </row>
    <row r="224" spans="1:11" ht="31.2" thickBot="1">
      <c r="A224" s="6" t="s">
        <v>142</v>
      </c>
      <c r="B224" s="6" t="s">
        <v>599</v>
      </c>
      <c r="C224" s="6" t="s">
        <v>647</v>
      </c>
      <c r="D224" s="6"/>
      <c r="E224" s="7"/>
      <c r="F224" s="9" t="s">
        <v>637</v>
      </c>
      <c r="G224" s="12" t="s">
        <v>771</v>
      </c>
      <c r="H224" s="12" t="s">
        <v>407</v>
      </c>
      <c r="J224" t="s">
        <v>404</v>
      </c>
      <c r="K224" t="str">
        <f t="shared" si="3"/>
        <v>TS-UD-COH-RUL-003test_011_r5_activity_exceeds_contract_alert</v>
      </c>
    </row>
    <row r="225" spans="1:11" ht="31.2" thickBot="1">
      <c r="A225" s="6" t="s">
        <v>142</v>
      </c>
      <c r="B225" s="6" t="s">
        <v>599</v>
      </c>
      <c r="C225" s="6" t="s">
        <v>648</v>
      </c>
      <c r="D225" s="6"/>
      <c r="E225" s="7"/>
      <c r="F225" s="9" t="s">
        <v>637</v>
      </c>
      <c r="G225" s="12" t="s">
        <v>771</v>
      </c>
      <c r="H225" s="12" t="s">
        <v>407</v>
      </c>
      <c r="J225" t="s">
        <v>404</v>
      </c>
      <c r="K225" t="str">
        <f t="shared" si="3"/>
        <v>TS-UD-COH-RUL-003test_012_r5_activity_within_contract_pass</v>
      </c>
    </row>
    <row r="226" spans="1:11" ht="31.2" thickBot="1">
      <c r="A226" s="6" t="s">
        <v>142</v>
      </c>
      <c r="B226" s="6" t="s">
        <v>599</v>
      </c>
      <c r="C226" s="6" t="s">
        <v>649</v>
      </c>
      <c r="D226" s="6"/>
      <c r="E226" s="7"/>
      <c r="F226" s="9" t="s">
        <v>637</v>
      </c>
      <c r="G226" s="12" t="s">
        <v>771</v>
      </c>
      <c r="H226" s="12" t="s">
        <v>407</v>
      </c>
      <c r="J226" t="s">
        <v>404</v>
      </c>
      <c r="K226" t="str">
        <f t="shared" si="3"/>
        <v>TS-UD-COH-RUL-003test_013_r5_exceeding_activities_list</v>
      </c>
    </row>
    <row r="227" spans="1:11" ht="31.2" thickBot="1">
      <c r="A227" s="6" t="s">
        <v>142</v>
      </c>
      <c r="B227" s="6" t="s">
        <v>599</v>
      </c>
      <c r="C227" s="6" t="s">
        <v>650</v>
      </c>
      <c r="D227" s="6"/>
      <c r="E227" s="7"/>
      <c r="F227" s="9" t="s">
        <v>637</v>
      </c>
      <c r="G227" s="12" t="s">
        <v>771</v>
      </c>
      <c r="H227" s="12" t="s">
        <v>407</v>
      </c>
      <c r="J227" t="s">
        <v>404</v>
      </c>
      <c r="K227" t="str">
        <f t="shared" si="3"/>
        <v>TS-UD-COH-RUL-003test_014_r5_alert_severity_critical</v>
      </c>
    </row>
    <row r="228" spans="1:11" ht="31.2" thickBot="1">
      <c r="A228" s="6" t="s">
        <v>142</v>
      </c>
      <c r="B228" s="6" t="s">
        <v>599</v>
      </c>
      <c r="C228" s="6" t="s">
        <v>651</v>
      </c>
      <c r="D228" s="6"/>
      <c r="E228" s="7"/>
      <c r="F228" s="9" t="s">
        <v>637</v>
      </c>
      <c r="G228" s="12" t="s">
        <v>771</v>
      </c>
      <c r="H228" s="12" t="s">
        <v>407</v>
      </c>
      <c r="J228" t="s">
        <v>404</v>
      </c>
      <c r="K228" t="str">
        <f t="shared" si="3"/>
        <v>TS-UD-COH-RUL-003test_015_r14_order_date_passed_critical</v>
      </c>
    </row>
    <row r="229" spans="1:11" ht="31.2" thickBot="1">
      <c r="A229" s="6" t="s">
        <v>142</v>
      </c>
      <c r="B229" s="6" t="s">
        <v>599</v>
      </c>
      <c r="C229" s="6" t="s">
        <v>652</v>
      </c>
      <c r="D229" s="6"/>
      <c r="E229" s="7"/>
      <c r="F229" s="9" t="s">
        <v>637</v>
      </c>
      <c r="G229" s="12" t="s">
        <v>771</v>
      </c>
      <c r="H229" s="12" t="s">
        <v>407</v>
      </c>
      <c r="J229" t="s">
        <v>404</v>
      </c>
      <c r="K229" t="str">
        <f t="shared" si="3"/>
        <v>TS-UD-COH-RUL-003test_016_r14_order_date_tight_warning</v>
      </c>
    </row>
    <row r="230" spans="1:11" ht="16.2" thickBot="1">
      <c r="A230" s="6" t="s">
        <v>143</v>
      </c>
      <c r="B230" s="6" t="s">
        <v>599</v>
      </c>
      <c r="C230" s="6" t="s">
        <v>526</v>
      </c>
      <c r="D230" s="6"/>
      <c r="E230" s="7"/>
      <c r="F230" s="5"/>
      <c r="J230" t="s">
        <v>404</v>
      </c>
      <c r="K230" t="str">
        <f t="shared" si="3"/>
        <v>TS-UD-COH-RUL-004Tests not individually listed</v>
      </c>
    </row>
    <row r="231" spans="1:11" ht="16.2" thickBot="1">
      <c r="A231" s="6" t="s">
        <v>144</v>
      </c>
      <c r="B231" s="6" t="s">
        <v>599</v>
      </c>
      <c r="C231" s="6" t="s">
        <v>526</v>
      </c>
      <c r="D231" s="6"/>
      <c r="E231" s="7"/>
      <c r="F231" s="5"/>
      <c r="J231" t="s">
        <v>404</v>
      </c>
      <c r="K231" t="str">
        <f t="shared" si="3"/>
        <v>TS-UD-COH-RUL-005Tests not individually listed</v>
      </c>
    </row>
    <row r="232" spans="1:11" ht="16.2" thickBot="1">
      <c r="A232" s="6" t="s">
        <v>145</v>
      </c>
      <c r="B232" s="6" t="s">
        <v>599</v>
      </c>
      <c r="C232" s="6" t="s">
        <v>526</v>
      </c>
      <c r="D232" s="6"/>
      <c r="E232" s="7"/>
      <c r="F232" s="5"/>
      <c r="J232" t="s">
        <v>404</v>
      </c>
      <c r="K232" t="str">
        <f t="shared" si="3"/>
        <v>TS-UD-COH-RUL-006Tests not individually listed</v>
      </c>
    </row>
    <row r="233" spans="1:11" ht="31.2" thickBot="1">
      <c r="A233" s="6" t="s">
        <v>146</v>
      </c>
      <c r="B233" s="6" t="s">
        <v>599</v>
      </c>
      <c r="C233" s="6" t="s">
        <v>653</v>
      </c>
      <c r="D233" s="6"/>
      <c r="E233" s="7"/>
      <c r="F233" s="9" t="s">
        <v>654</v>
      </c>
      <c r="G233" s="12" t="s">
        <v>771</v>
      </c>
      <c r="H233" s="12" t="s">
        <v>407</v>
      </c>
      <c r="I233" s="12" t="s">
        <v>809</v>
      </c>
      <c r="J233" t="s">
        <v>404</v>
      </c>
      <c r="K233" t="str">
        <f t="shared" si="3"/>
        <v>TS-UD-COH-SCR-001test_001_subscore_no_alerts_100_percent</v>
      </c>
    </row>
    <row r="234" spans="1:11" ht="31.2" thickBot="1">
      <c r="A234" s="6" t="s">
        <v>146</v>
      </c>
      <c r="B234" s="6" t="s">
        <v>599</v>
      </c>
      <c r="C234" s="6" t="s">
        <v>655</v>
      </c>
      <c r="D234" s="6"/>
      <c r="E234" s="7"/>
      <c r="F234" s="9" t="s">
        <v>654</v>
      </c>
      <c r="G234" s="12" t="s">
        <v>771</v>
      </c>
      <c r="H234" s="12" t="s">
        <v>407</v>
      </c>
      <c r="J234" t="s">
        <v>404</v>
      </c>
      <c r="K234" t="str">
        <f t="shared" si="3"/>
        <v>TS-UD-COH-SCR-001test_002_subscore_one_alert_penalized</v>
      </c>
    </row>
    <row r="235" spans="1:11" ht="31.2" thickBot="1">
      <c r="A235" s="6" t="s">
        <v>146</v>
      </c>
      <c r="B235" s="6" t="s">
        <v>599</v>
      </c>
      <c r="C235" s="6" t="s">
        <v>656</v>
      </c>
      <c r="D235" s="6"/>
      <c r="E235" s="7"/>
      <c r="F235" s="9" t="s">
        <v>654</v>
      </c>
      <c r="G235" s="12" t="s">
        <v>771</v>
      </c>
      <c r="H235" s="12" t="s">
        <v>407</v>
      </c>
      <c r="J235" t="s">
        <v>404</v>
      </c>
      <c r="K235" t="str">
        <f t="shared" si="3"/>
        <v>TS-UD-COH-SCR-001test_003_subscore_multiple_alerts_cumulative</v>
      </c>
    </row>
    <row r="236" spans="1:11" ht="31.2" thickBot="1">
      <c r="A236" s="6" t="s">
        <v>146</v>
      </c>
      <c r="B236" s="6" t="s">
        <v>599</v>
      </c>
      <c r="C236" s="6" t="s">
        <v>657</v>
      </c>
      <c r="D236" s="6"/>
      <c r="E236" s="7"/>
      <c r="F236" s="9" t="s">
        <v>654</v>
      </c>
      <c r="G236" s="12" t="s">
        <v>771</v>
      </c>
      <c r="H236" s="12" t="s">
        <v>407</v>
      </c>
      <c r="J236" t="s">
        <v>404</v>
      </c>
      <c r="K236" t="str">
        <f t="shared" si="3"/>
        <v>TS-UD-COH-SCR-001test_004_subscore_severity_low_penalty_5</v>
      </c>
    </row>
    <row r="237" spans="1:11" ht="31.2" thickBot="1">
      <c r="A237" s="6" t="s">
        <v>146</v>
      </c>
      <c r="B237" s="6" t="s">
        <v>599</v>
      </c>
      <c r="C237" s="6" t="s">
        <v>658</v>
      </c>
      <c r="D237" s="6"/>
      <c r="E237" s="7"/>
      <c r="F237" s="9" t="s">
        <v>654</v>
      </c>
      <c r="G237" s="12" t="s">
        <v>771</v>
      </c>
      <c r="H237" s="12" t="s">
        <v>407</v>
      </c>
      <c r="J237" t="s">
        <v>404</v>
      </c>
      <c r="K237" t="str">
        <f t="shared" si="3"/>
        <v>TS-UD-COH-SCR-001test_005_subscore_severity_medium_penalty_10</v>
      </c>
    </row>
    <row r="238" spans="1:11" ht="31.2" thickBot="1">
      <c r="A238" s="6" t="s">
        <v>146</v>
      </c>
      <c r="B238" s="6" t="s">
        <v>599</v>
      </c>
      <c r="C238" s="6" t="s">
        <v>659</v>
      </c>
      <c r="D238" s="6"/>
      <c r="E238" s="7"/>
      <c r="F238" s="9" t="s">
        <v>654</v>
      </c>
      <c r="G238" s="12" t="s">
        <v>771</v>
      </c>
      <c r="H238" s="12" t="s">
        <v>407</v>
      </c>
      <c r="J238" t="s">
        <v>404</v>
      </c>
      <c r="K238" t="str">
        <f t="shared" si="3"/>
        <v>TS-UD-COH-SCR-001test_006_subscore_severity_high_penalty_20</v>
      </c>
    </row>
    <row r="239" spans="1:11" ht="31.2" thickBot="1">
      <c r="A239" s="6" t="s">
        <v>146</v>
      </c>
      <c r="B239" s="6" t="s">
        <v>599</v>
      </c>
      <c r="C239" s="6" t="s">
        <v>660</v>
      </c>
      <c r="D239" s="6"/>
      <c r="E239" s="7"/>
      <c r="F239" s="9" t="s">
        <v>654</v>
      </c>
      <c r="G239" s="12" t="s">
        <v>771</v>
      </c>
      <c r="H239" s="12" t="s">
        <v>407</v>
      </c>
      <c r="J239" t="s">
        <v>404</v>
      </c>
      <c r="K239" t="str">
        <f t="shared" si="3"/>
        <v>TS-UD-COH-SCR-001test_007_subscore_severity_critical_penalty_30</v>
      </c>
    </row>
    <row r="240" spans="1:11" ht="31.2" thickBot="1">
      <c r="A240" s="6" t="s">
        <v>146</v>
      </c>
      <c r="B240" s="6" t="s">
        <v>599</v>
      </c>
      <c r="C240" s="6" t="s">
        <v>661</v>
      </c>
      <c r="D240" s="6"/>
      <c r="E240" s="7"/>
      <c r="F240" s="9" t="s">
        <v>654</v>
      </c>
      <c r="G240" s="12" t="s">
        <v>771</v>
      </c>
      <c r="H240" s="12" t="s">
        <v>407</v>
      </c>
      <c r="J240" t="s">
        <v>404</v>
      </c>
      <c r="K240" t="str">
        <f t="shared" si="3"/>
        <v>TS-UD-COH-SCR-001test_008_subscore_scope_calculation</v>
      </c>
    </row>
    <row r="241" spans="1:11" ht="31.2" thickBot="1">
      <c r="A241" s="6" t="s">
        <v>146</v>
      </c>
      <c r="B241" s="6" t="s">
        <v>599</v>
      </c>
      <c r="C241" s="6" t="s">
        <v>662</v>
      </c>
      <c r="D241" s="6"/>
      <c r="E241" s="7"/>
      <c r="F241" s="9" t="s">
        <v>654</v>
      </c>
      <c r="G241" s="12" t="s">
        <v>771</v>
      </c>
      <c r="H241" s="12" t="s">
        <v>407</v>
      </c>
      <c r="J241" t="s">
        <v>404</v>
      </c>
      <c r="K241" t="str">
        <f t="shared" si="3"/>
        <v>TS-UD-COH-SCR-001test_009_subscore_budget_calculation</v>
      </c>
    </row>
    <row r="242" spans="1:11" ht="31.2" thickBot="1">
      <c r="A242" s="6" t="s">
        <v>146</v>
      </c>
      <c r="B242" s="6" t="s">
        <v>599</v>
      </c>
      <c r="C242" s="6" t="s">
        <v>663</v>
      </c>
      <c r="D242" s="6"/>
      <c r="E242" s="7"/>
      <c r="F242" s="9" t="s">
        <v>654</v>
      </c>
      <c r="G242" s="12" t="s">
        <v>771</v>
      </c>
      <c r="H242" s="12" t="s">
        <v>407</v>
      </c>
      <c r="J242" t="s">
        <v>404</v>
      </c>
      <c r="K242" t="str">
        <f t="shared" si="3"/>
        <v>TS-UD-COH-SCR-001test_010_subscore_quality_calculation</v>
      </c>
    </row>
    <row r="243" spans="1:11" ht="31.2" thickBot="1">
      <c r="A243" s="6" t="s">
        <v>146</v>
      </c>
      <c r="B243" s="6" t="s">
        <v>599</v>
      </c>
      <c r="C243" s="6" t="s">
        <v>664</v>
      </c>
      <c r="D243" s="6"/>
      <c r="E243" s="7"/>
      <c r="F243" s="9" t="s">
        <v>654</v>
      </c>
      <c r="G243" s="12" t="s">
        <v>771</v>
      </c>
      <c r="H243" s="12" t="s">
        <v>407</v>
      </c>
      <c r="J243" t="s">
        <v>404</v>
      </c>
      <c r="K243" t="str">
        <f t="shared" si="3"/>
        <v>TS-UD-COH-SCR-001test_011_subscore_technical_calculation</v>
      </c>
    </row>
    <row r="244" spans="1:11" ht="31.2" thickBot="1">
      <c r="A244" s="6" t="s">
        <v>146</v>
      </c>
      <c r="B244" s="6" t="s">
        <v>599</v>
      </c>
      <c r="C244" s="6" t="s">
        <v>665</v>
      </c>
      <c r="D244" s="6"/>
      <c r="E244" s="7"/>
      <c r="F244" s="9" t="s">
        <v>654</v>
      </c>
      <c r="G244" s="12" t="s">
        <v>771</v>
      </c>
      <c r="H244" s="12" t="s">
        <v>407</v>
      </c>
      <c r="J244" t="s">
        <v>404</v>
      </c>
      <c r="K244" t="str">
        <f t="shared" si="3"/>
        <v>TS-UD-COH-SCR-001test_012_subscore_legal_calculation</v>
      </c>
    </row>
    <row r="245" spans="1:11" ht="31.2" thickBot="1">
      <c r="A245" s="6" t="s">
        <v>146</v>
      </c>
      <c r="B245" s="6" t="s">
        <v>599</v>
      </c>
      <c r="C245" s="6" t="s">
        <v>666</v>
      </c>
      <c r="D245" s="6"/>
      <c r="E245" s="7"/>
      <c r="F245" s="9" t="s">
        <v>654</v>
      </c>
      <c r="G245" s="12" t="s">
        <v>771</v>
      </c>
      <c r="H245" s="12" t="s">
        <v>407</v>
      </c>
      <c r="J245" t="s">
        <v>404</v>
      </c>
      <c r="K245" t="str">
        <f t="shared" si="3"/>
        <v>TS-UD-COH-SCR-001test_013_subscore_time_calculation</v>
      </c>
    </row>
    <row r="246" spans="1:11" ht="31.2" thickBot="1">
      <c r="A246" s="6" t="s">
        <v>146</v>
      </c>
      <c r="B246" s="6" t="s">
        <v>599</v>
      </c>
      <c r="C246" s="6" t="s">
        <v>667</v>
      </c>
      <c r="D246" s="6"/>
      <c r="E246" s="7"/>
      <c r="F246" s="9" t="s">
        <v>654</v>
      </c>
      <c r="G246" s="12" t="s">
        <v>771</v>
      </c>
      <c r="H246" s="12" t="s">
        <v>407</v>
      </c>
      <c r="J246" t="s">
        <v>404</v>
      </c>
      <c r="K246" t="str">
        <f t="shared" si="3"/>
        <v>TS-UD-COH-SCR-001test_014_subscore_floor_at_zero</v>
      </c>
    </row>
    <row r="247" spans="1:11" ht="31.2" thickBot="1">
      <c r="A247" s="6" t="s">
        <v>147</v>
      </c>
      <c r="B247" s="6" t="s">
        <v>599</v>
      </c>
      <c r="C247" s="6" t="s">
        <v>668</v>
      </c>
      <c r="D247" s="6"/>
      <c r="E247" s="7"/>
      <c r="F247" s="9" t="s">
        <v>669</v>
      </c>
      <c r="G247" s="12" t="s">
        <v>771</v>
      </c>
      <c r="H247" s="12" t="s">
        <v>407</v>
      </c>
      <c r="J247" t="s">
        <v>404</v>
      </c>
      <c r="K247" t="str">
        <f t="shared" si="3"/>
        <v>TS-UD-COH-SCR-002test_001_global_score_formula_verification</v>
      </c>
    </row>
    <row r="248" spans="1:11" ht="31.2" thickBot="1">
      <c r="A248" s="6" t="s">
        <v>147</v>
      </c>
      <c r="B248" s="6" t="s">
        <v>599</v>
      </c>
      <c r="C248" s="6" t="s">
        <v>670</v>
      </c>
      <c r="D248" s="6"/>
      <c r="E248" s="7"/>
      <c r="F248" s="9" t="s">
        <v>669</v>
      </c>
      <c r="G248" s="12" t="s">
        <v>771</v>
      </c>
      <c r="H248" s="12" t="s">
        <v>407</v>
      </c>
      <c r="J248" t="s">
        <v>404</v>
      </c>
      <c r="K248" t="str">
        <f t="shared" si="3"/>
        <v>TS-UD-COH-SCR-002test_002_global_score_default_weights</v>
      </c>
    </row>
    <row r="249" spans="1:11" ht="31.2" thickBot="1">
      <c r="A249" s="6" t="s">
        <v>147</v>
      </c>
      <c r="B249" s="6" t="s">
        <v>599</v>
      </c>
      <c r="C249" s="6" t="s">
        <v>671</v>
      </c>
      <c r="D249" s="6"/>
      <c r="E249" s="7"/>
      <c r="F249" s="9" t="s">
        <v>669</v>
      </c>
      <c r="G249" s="12" t="s">
        <v>771</v>
      </c>
      <c r="H249" s="12" t="s">
        <v>407</v>
      </c>
      <c r="J249" t="s">
        <v>404</v>
      </c>
      <c r="K249" t="str">
        <f t="shared" si="3"/>
        <v>TS-UD-COH-SCR-002test_003_global_score_all_100_equals_100</v>
      </c>
    </row>
    <row r="250" spans="1:11" ht="31.2" thickBot="1">
      <c r="A250" s="6" t="s">
        <v>147</v>
      </c>
      <c r="B250" s="6" t="s">
        <v>599</v>
      </c>
      <c r="C250" s="6" t="s">
        <v>672</v>
      </c>
      <c r="D250" s="6"/>
      <c r="E250" s="7"/>
      <c r="F250" s="9" t="s">
        <v>669</v>
      </c>
      <c r="G250" s="12" t="s">
        <v>771</v>
      </c>
      <c r="H250" s="12" t="s">
        <v>407</v>
      </c>
      <c r="J250" t="s">
        <v>404</v>
      </c>
      <c r="K250" t="str">
        <f t="shared" si="3"/>
        <v>TS-UD-COH-SCR-002test_004_global_score_all_0_equals_0</v>
      </c>
    </row>
    <row r="251" spans="1:11" ht="31.2" thickBot="1">
      <c r="A251" s="6" t="s">
        <v>147</v>
      </c>
      <c r="B251" s="6" t="s">
        <v>599</v>
      </c>
      <c r="C251" s="6" t="s">
        <v>673</v>
      </c>
      <c r="D251" s="6"/>
      <c r="E251" s="7"/>
      <c r="F251" s="9" t="s">
        <v>669</v>
      </c>
      <c r="G251" s="12" t="s">
        <v>771</v>
      </c>
      <c r="H251" s="12" t="s">
        <v>407</v>
      </c>
      <c r="J251" t="s">
        <v>404</v>
      </c>
      <c r="K251" t="str">
        <f t="shared" si="3"/>
        <v>TS-UD-COH-SCR-002test_005_global_score_mixed_subscores</v>
      </c>
    </row>
    <row r="252" spans="1:11" ht="31.2" thickBot="1">
      <c r="A252" s="6" t="s">
        <v>147</v>
      </c>
      <c r="B252" s="6" t="s">
        <v>599</v>
      </c>
      <c r="C252" s="6" t="s">
        <v>674</v>
      </c>
      <c r="D252" s="6"/>
      <c r="E252" s="7"/>
      <c r="F252" s="9" t="s">
        <v>669</v>
      </c>
      <c r="G252" s="12" t="s">
        <v>771</v>
      </c>
      <c r="H252" s="12" t="s">
        <v>407</v>
      </c>
      <c r="J252" t="s">
        <v>404</v>
      </c>
      <c r="K252" t="str">
        <f t="shared" si="3"/>
        <v>TS-UD-COH-SCR-002test_006_global_score_range_0_to_100</v>
      </c>
    </row>
    <row r="253" spans="1:11" ht="31.2" thickBot="1">
      <c r="A253" s="6" t="s">
        <v>147</v>
      </c>
      <c r="B253" s="6" t="s">
        <v>599</v>
      </c>
      <c r="C253" s="6" t="s">
        <v>675</v>
      </c>
      <c r="D253" s="6"/>
      <c r="E253" s="7"/>
      <c r="F253" s="9" t="s">
        <v>669</v>
      </c>
      <c r="G253" s="12" t="s">
        <v>771</v>
      </c>
      <c r="H253" s="12" t="s">
        <v>407</v>
      </c>
      <c r="J253" t="s">
        <v>404</v>
      </c>
      <c r="K253" t="str">
        <f t="shared" si="3"/>
        <v>TS-UD-COH-SCR-002test_007_weights_sum_validation</v>
      </c>
    </row>
    <row r="254" spans="1:11" ht="31.2" thickBot="1">
      <c r="A254" s="6" t="s">
        <v>147</v>
      </c>
      <c r="B254" s="6" t="s">
        <v>599</v>
      </c>
      <c r="C254" s="6" t="s">
        <v>676</v>
      </c>
      <c r="D254" s="6"/>
      <c r="E254" s="7"/>
      <c r="F254" s="9" t="s">
        <v>669</v>
      </c>
      <c r="G254" s="12" t="s">
        <v>771</v>
      </c>
      <c r="H254" s="12" t="s">
        <v>407</v>
      </c>
      <c r="J254" t="s">
        <v>404</v>
      </c>
      <c r="K254" t="str">
        <f t="shared" si="3"/>
        <v>TS-UD-COH-SCR-002test_008_weights_normalization_auto</v>
      </c>
    </row>
    <row r="255" spans="1:11" ht="31.2" thickBot="1">
      <c r="A255" s="6" t="s">
        <v>147</v>
      </c>
      <c r="B255" s="6" t="s">
        <v>599</v>
      </c>
      <c r="C255" s="6" t="s">
        <v>677</v>
      </c>
      <c r="D255" s="6"/>
      <c r="E255" s="7"/>
      <c r="F255" s="9" t="s">
        <v>669</v>
      </c>
      <c r="G255" s="12" t="s">
        <v>771</v>
      </c>
      <c r="H255" s="12" t="s">
        <v>407</v>
      </c>
      <c r="J255" t="s">
        <v>404</v>
      </c>
      <c r="K255" t="str">
        <f t="shared" si="3"/>
        <v>TS-UD-COH-SCR-002test_009_weights_custom_budget_30</v>
      </c>
    </row>
    <row r="256" spans="1:11" ht="31.2" thickBot="1">
      <c r="A256" s="6" t="s">
        <v>147</v>
      </c>
      <c r="B256" s="6" t="s">
        <v>599</v>
      </c>
      <c r="C256" s="6" t="s">
        <v>678</v>
      </c>
      <c r="D256" s="6"/>
      <c r="E256" s="7"/>
      <c r="F256" s="9" t="s">
        <v>669</v>
      </c>
      <c r="G256" s="12" t="s">
        <v>771</v>
      </c>
      <c r="H256" s="12" t="s">
        <v>407</v>
      </c>
      <c r="J256" t="s">
        <v>404</v>
      </c>
      <c r="K256" t="str">
        <f t="shared" si="3"/>
        <v>TS-UD-COH-SCR-002test_010_weights_custom_time_25</v>
      </c>
    </row>
    <row r="257" spans="1:11" ht="31.2" thickBot="1">
      <c r="A257" s="6" t="s">
        <v>147</v>
      </c>
      <c r="B257" s="6" t="s">
        <v>599</v>
      </c>
      <c r="C257" s="6" t="s">
        <v>679</v>
      </c>
      <c r="D257" s="6"/>
      <c r="E257" s="7"/>
      <c r="F257" s="9" t="s">
        <v>669</v>
      </c>
      <c r="G257" s="12" t="s">
        <v>771</v>
      </c>
      <c r="H257" s="12" t="s">
        <v>407</v>
      </c>
      <c r="J257" t="s">
        <v>404</v>
      </c>
      <c r="K257" t="str">
        <f t="shared" si="3"/>
        <v>TS-UD-COH-SCR-002test_011_weights_per_project_type</v>
      </c>
    </row>
    <row r="258" spans="1:11" ht="31.2" thickBot="1">
      <c r="A258" s="6" t="s">
        <v>147</v>
      </c>
      <c r="B258" s="6" t="s">
        <v>599</v>
      </c>
      <c r="C258" s="6" t="s">
        <v>680</v>
      </c>
      <c r="D258" s="6"/>
      <c r="E258" s="7"/>
      <c r="F258" s="9" t="s">
        <v>669</v>
      </c>
      <c r="G258" s="12" t="s">
        <v>771</v>
      </c>
      <c r="H258" s="12" t="s">
        <v>407</v>
      </c>
      <c r="J258" t="s">
        <v>404</v>
      </c>
      <c r="K258" t="str">
        <f t="shared" si="3"/>
        <v>TS-UD-COH-SCR-002test_012_weights_history_tracking</v>
      </c>
    </row>
    <row r="259" spans="1:11" ht="16.2" thickBot="1">
      <c r="A259" s="6" t="s">
        <v>148</v>
      </c>
      <c r="B259" s="6" t="s">
        <v>599</v>
      </c>
      <c r="C259" s="6" t="s">
        <v>526</v>
      </c>
      <c r="D259" s="6"/>
      <c r="E259" s="7"/>
      <c r="F259" s="5"/>
      <c r="J259" t="s">
        <v>404</v>
      </c>
    </row>
    <row r="260" spans="1:11" ht="31.2" thickBot="1">
      <c r="A260" s="6" t="s">
        <v>149</v>
      </c>
      <c r="B260" s="6" t="s">
        <v>599</v>
      </c>
      <c r="C260" s="6" t="s">
        <v>681</v>
      </c>
      <c r="D260" s="6"/>
      <c r="E260" s="7"/>
      <c r="F260" s="9" t="s">
        <v>682</v>
      </c>
      <c r="G260" s="12" t="s">
        <v>771</v>
      </c>
      <c r="H260" s="12" t="s">
        <v>407</v>
      </c>
      <c r="J260" t="s">
        <v>404</v>
      </c>
      <c r="K260" t="str">
        <f t="shared" si="3"/>
        <v>TS-UD-COH-GAM-001test_001_detect_mass_changes_15_in_30min</v>
      </c>
    </row>
    <row r="261" spans="1:11" ht="31.2" thickBot="1">
      <c r="A261" s="6" t="s">
        <v>149</v>
      </c>
      <c r="B261" s="6" t="s">
        <v>599</v>
      </c>
      <c r="C261" s="6" t="s">
        <v>683</v>
      </c>
      <c r="D261" s="6"/>
      <c r="E261" s="7"/>
      <c r="F261" s="9" t="s">
        <v>682</v>
      </c>
      <c r="G261" s="12" t="s">
        <v>771</v>
      </c>
      <c r="H261" s="12" t="s">
        <v>407</v>
      </c>
      <c r="J261" t="s">
        <v>404</v>
      </c>
      <c r="K261" t="str">
        <f t="shared" si="3"/>
        <v>TS-UD-COH-GAM-001test_002_no_violation_10_in_60min</v>
      </c>
    </row>
    <row r="262" spans="1:11" ht="31.2" thickBot="1">
      <c r="A262" s="6" t="s">
        <v>149</v>
      </c>
      <c r="B262" s="6" t="s">
        <v>599</v>
      </c>
      <c r="C262" s="6" t="s">
        <v>684</v>
      </c>
      <c r="D262" s="6"/>
      <c r="E262" s="7"/>
      <c r="F262" s="9" t="s">
        <v>682</v>
      </c>
      <c r="G262" s="12" t="s">
        <v>771</v>
      </c>
      <c r="H262" s="12" t="s">
        <v>407</v>
      </c>
      <c r="J262" t="s">
        <v>404</v>
      </c>
      <c r="K262" t="str">
        <f t="shared" si="3"/>
        <v>TS-UD-COH-GAM-001test_003_mass_changes_window_sliding</v>
      </c>
    </row>
    <row r="263" spans="1:11" ht="31.2" thickBot="1">
      <c r="A263" s="6" t="s">
        <v>149</v>
      </c>
      <c r="B263" s="6" t="s">
        <v>599</v>
      </c>
      <c r="C263" s="6" t="s">
        <v>685</v>
      </c>
      <c r="D263" s="6"/>
      <c r="E263" s="7"/>
      <c r="F263" s="9" t="s">
        <v>682</v>
      </c>
      <c r="G263" s="12" t="s">
        <v>771</v>
      </c>
      <c r="H263" s="12" t="s">
        <v>407</v>
      </c>
      <c r="J263" t="s">
        <v>404</v>
      </c>
      <c r="K263" t="str">
        <f t="shared" si="3"/>
        <v>TS-UD-COH-GAM-001test_004_mass_changes_flag_for_review</v>
      </c>
    </row>
    <row r="264" spans="1:11" ht="31.2" thickBot="1">
      <c r="A264" s="6" t="s">
        <v>149</v>
      </c>
      <c r="B264" s="6" t="s">
        <v>599</v>
      </c>
      <c r="C264" s="6" t="s">
        <v>686</v>
      </c>
      <c r="D264" s="6"/>
      <c r="E264" s="7"/>
      <c r="F264" s="9" t="s">
        <v>682</v>
      </c>
      <c r="G264" s="12" t="s">
        <v>771</v>
      </c>
      <c r="H264" s="12" t="s">
        <v>407</v>
      </c>
      <c r="J264" t="s">
        <v>404</v>
      </c>
      <c r="K264" t="str">
        <f t="shared" si="3"/>
        <v>TS-UD-COH-GAM-001test_005_detect_resolve_reintroduce_4_times</v>
      </c>
    </row>
    <row r="265" spans="1:11" ht="31.2" thickBot="1">
      <c r="A265" s="6" t="s">
        <v>149</v>
      </c>
      <c r="B265" s="6" t="s">
        <v>599</v>
      </c>
      <c r="C265" s="6" t="s">
        <v>687</v>
      </c>
      <c r="D265" s="6"/>
      <c r="E265" s="7"/>
      <c r="F265" s="9" t="s">
        <v>682</v>
      </c>
      <c r="G265" s="12" t="s">
        <v>771</v>
      </c>
      <c r="H265" s="12" t="s">
        <v>407</v>
      </c>
      <c r="J265" t="s">
        <v>404</v>
      </c>
      <c r="K265" t="str">
        <f t="shared" si="3"/>
        <v>TS-UD-COH-GAM-001test_006_no_violation_2_times</v>
      </c>
    </row>
    <row r="266" spans="1:11" ht="31.2" thickBot="1">
      <c r="A266" s="6" t="s">
        <v>149</v>
      </c>
      <c r="B266" s="6" t="s">
        <v>599</v>
      </c>
      <c r="C266" s="6" t="s">
        <v>688</v>
      </c>
      <c r="D266" s="6"/>
      <c r="E266" s="7"/>
      <c r="F266" s="9" t="s">
        <v>682</v>
      </c>
      <c r="G266" s="12" t="s">
        <v>771</v>
      </c>
      <c r="H266" s="12" t="s">
        <v>407</v>
      </c>
      <c r="J266" t="s">
        <v>404</v>
      </c>
      <c r="K266" t="str">
        <f t="shared" si="3"/>
        <v>TS-UD-COH-GAM-001test_007_hash_comparison_same_content</v>
      </c>
    </row>
    <row r="267" spans="1:11" ht="31.2" thickBot="1">
      <c r="A267" s="6" t="s">
        <v>149</v>
      </c>
      <c r="B267" s="6" t="s">
        <v>599</v>
      </c>
      <c r="C267" s="6" t="s">
        <v>689</v>
      </c>
      <c r="D267" s="6"/>
      <c r="E267" s="7"/>
      <c r="F267" s="9" t="s">
        <v>682</v>
      </c>
      <c r="G267" s="12" t="s">
        <v>771</v>
      </c>
      <c r="H267" s="12" t="s">
        <v>407</v>
      </c>
      <c r="J267" t="s">
        <v>404</v>
      </c>
      <c r="K267" t="str">
        <f t="shared" si="3"/>
        <v>TS-UD-COH-GAM-001test_008_penalty_minus_5_points</v>
      </c>
    </row>
    <row r="268" spans="1:11" ht="31.2" thickBot="1">
      <c r="A268" s="6" t="s">
        <v>149</v>
      </c>
      <c r="B268" s="6" t="s">
        <v>599</v>
      </c>
      <c r="C268" s="6" t="s">
        <v>690</v>
      </c>
      <c r="D268" s="6"/>
      <c r="E268" s="7"/>
      <c r="F268" s="9" t="s">
        <v>682</v>
      </c>
      <c r="G268" s="12" t="s">
        <v>771</v>
      </c>
      <c r="H268" s="12" t="s">
        <v>407</v>
      </c>
      <c r="J268" t="s">
        <v>404</v>
      </c>
      <c r="K268" t="str">
        <f t="shared" si="3"/>
        <v>TS-UD-COH-GAM-001test_009_detect_95_percent_3_docs</v>
      </c>
    </row>
    <row r="269" spans="1:11" ht="31.2" thickBot="1">
      <c r="A269" s="6" t="s">
        <v>149</v>
      </c>
      <c r="B269" s="6" t="s">
        <v>599</v>
      </c>
      <c r="C269" s="6" t="s">
        <v>691</v>
      </c>
      <c r="D269" s="6"/>
      <c r="E269" s="7"/>
      <c r="F269" s="9" t="s">
        <v>682</v>
      </c>
      <c r="G269" s="12" t="s">
        <v>771</v>
      </c>
      <c r="H269" s="12" t="s">
        <v>407</v>
      </c>
      <c r="J269" t="s">
        <v>404</v>
      </c>
      <c r="K269" t="str">
        <f t="shared" si="3"/>
        <v>TS-UD-COH-GAM-001test_010_no_violation_95_percent_50_docs</v>
      </c>
    </row>
    <row r="270" spans="1:11" ht="31.2" thickBot="1">
      <c r="A270" s="6" t="s">
        <v>149</v>
      </c>
      <c r="B270" s="6" t="s">
        <v>599</v>
      </c>
      <c r="C270" s="6" t="s">
        <v>692</v>
      </c>
      <c r="D270" s="6"/>
      <c r="E270" s="7"/>
      <c r="F270" s="9" t="s">
        <v>682</v>
      </c>
      <c r="G270" s="12" t="s">
        <v>771</v>
      </c>
      <c r="H270" s="12" t="s">
        <v>407</v>
      </c>
      <c r="J270" t="s">
        <v>404</v>
      </c>
      <c r="K270" t="str">
        <f t="shared" si="3"/>
        <v>TS-UD-COH-GAM-001test_011_threshold_90_percent_5_docs</v>
      </c>
    </row>
    <row r="271" spans="1:11" ht="31.2" thickBot="1">
      <c r="A271" s="6" t="s">
        <v>149</v>
      </c>
      <c r="B271" s="6" t="s">
        <v>599</v>
      </c>
      <c r="C271" s="6" t="s">
        <v>693</v>
      </c>
      <c r="D271" s="6"/>
      <c r="E271" s="7"/>
      <c r="F271" s="9" t="s">
        <v>682</v>
      </c>
      <c r="G271" s="12" t="s">
        <v>771</v>
      </c>
      <c r="H271" s="12" t="s">
        <v>407</v>
      </c>
      <c r="J271" t="s">
        <v>404</v>
      </c>
      <c r="K271" t="str">
        <f t="shared" si="3"/>
        <v>TS-UD-COH-GAM-001test_012_require_audit_action</v>
      </c>
    </row>
    <row r="272" spans="1:11" ht="31.2" thickBot="1">
      <c r="A272" s="6" t="s">
        <v>149</v>
      </c>
      <c r="B272" s="6" t="s">
        <v>599</v>
      </c>
      <c r="C272" s="6" t="s">
        <v>694</v>
      </c>
      <c r="D272" s="6"/>
      <c r="E272" s="7"/>
      <c r="F272" s="9" t="s">
        <v>682</v>
      </c>
      <c r="G272" s="12" t="s">
        <v>771</v>
      </c>
      <c r="H272" s="12" t="s">
        <v>407</v>
      </c>
      <c r="J272" t="s">
        <v>404</v>
      </c>
      <c r="K272" t="str">
        <f t="shared" si="3"/>
        <v>TS-UD-COH-GAM-001test_013_detect_weight_change_25_percent</v>
      </c>
    </row>
    <row r="273" spans="1:11" ht="31.2" thickBot="1">
      <c r="A273" s="6" t="s">
        <v>149</v>
      </c>
      <c r="B273" s="6" t="s">
        <v>599</v>
      </c>
      <c r="C273" s="6" t="s">
        <v>695</v>
      </c>
      <c r="D273" s="6"/>
      <c r="E273" s="7"/>
      <c r="F273" s="9" t="s">
        <v>682</v>
      </c>
      <c r="G273" s="12" t="s">
        <v>771</v>
      </c>
      <c r="H273" s="12" t="s">
        <v>407</v>
      </c>
      <c r="J273" t="s">
        <v>404</v>
      </c>
      <c r="K273" t="str">
        <f t="shared" si="3"/>
        <v>TS-UD-COH-GAM-001test_014_no_violation_change_15_percent</v>
      </c>
    </row>
    <row r="274" spans="1:11" ht="31.2" thickBot="1">
      <c r="A274" s="6" t="s">
        <v>149</v>
      </c>
      <c r="B274" s="6" t="s">
        <v>599</v>
      </c>
      <c r="C274" s="6" t="s">
        <v>696</v>
      </c>
      <c r="D274" s="6"/>
      <c r="E274" s="7"/>
      <c r="F274" s="9" t="s">
        <v>682</v>
      </c>
      <c r="G274" s="12" t="s">
        <v>771</v>
      </c>
      <c r="H274" s="12" t="s">
        <v>407</v>
      </c>
      <c r="J274" t="s">
        <v>404</v>
      </c>
      <c r="K274" t="str">
        <f t="shared" si="3"/>
        <v>TS-UD-COH-GAM-001test_015_24h_window_tracking</v>
      </c>
    </row>
    <row r="275" spans="1:11" ht="31.2" thickBot="1">
      <c r="A275" s="6" t="s">
        <v>149</v>
      </c>
      <c r="B275" s="6" t="s">
        <v>599</v>
      </c>
      <c r="C275" s="6" t="s">
        <v>697</v>
      </c>
      <c r="D275" s="6"/>
      <c r="E275" s="7"/>
      <c r="F275" s="9" t="s">
        <v>682</v>
      </c>
      <c r="G275" s="12" t="s">
        <v>771</v>
      </c>
      <c r="H275" s="12" t="s">
        <v>407</v>
      </c>
      <c r="J275" t="s">
        <v>404</v>
      </c>
      <c r="K275" t="str">
        <f t="shared" si="3"/>
        <v>TS-UD-COH-GAM-001test_016_notify_admin_action</v>
      </c>
    </row>
    <row r="276" spans="1:11" ht="16.2" thickBot="1">
      <c r="A276" s="6" t="s">
        <v>150</v>
      </c>
      <c r="B276" s="6" t="s">
        <v>599</v>
      </c>
      <c r="C276" s="6" t="s">
        <v>526</v>
      </c>
      <c r="D276" s="6"/>
      <c r="E276" s="7"/>
      <c r="F276" s="5"/>
      <c r="J276" t="s">
        <v>404</v>
      </c>
      <c r="K276" t="str">
        <f t="shared" si="3"/>
        <v>TS-UD-COH-ALR-001Tests not individually listed</v>
      </c>
    </row>
    <row r="277" spans="1:11" ht="31.2" thickBot="1">
      <c r="A277" s="6" t="s">
        <v>151</v>
      </c>
      <c r="B277" s="6" t="s">
        <v>698</v>
      </c>
      <c r="C277" s="6" t="s">
        <v>699</v>
      </c>
      <c r="D277" s="6"/>
      <c r="E277" s="7"/>
      <c r="F277" s="9" t="s">
        <v>700</v>
      </c>
      <c r="G277" s="12" t="s">
        <v>771</v>
      </c>
      <c r="H277" s="12" t="s">
        <v>407</v>
      </c>
      <c r="I277" t="s">
        <v>810</v>
      </c>
      <c r="J277" t="s">
        <v>404</v>
      </c>
      <c r="K277" t="str">
        <f t="shared" si="3"/>
        <v>TS-UD-PRJ-WBS-001test_001_wbs_item_creation_all_fields</v>
      </c>
    </row>
    <row r="278" spans="1:11" ht="31.2" thickBot="1">
      <c r="A278" s="6" t="s">
        <v>151</v>
      </c>
      <c r="B278" s="6" t="s">
        <v>698</v>
      </c>
      <c r="C278" s="6" t="s">
        <v>701</v>
      </c>
      <c r="D278" s="6"/>
      <c r="E278" s="7"/>
      <c r="F278" s="9" t="s">
        <v>700</v>
      </c>
      <c r="G278" s="12" t="s">
        <v>771</v>
      </c>
      <c r="H278" s="12" t="s">
        <v>407</v>
      </c>
      <c r="J278" t="s">
        <v>404</v>
      </c>
      <c r="K278" t="str">
        <f t="shared" si="3"/>
        <v>TS-UD-PRJ-WBS-001test_002_wbs_item_creation_minimum_fields</v>
      </c>
    </row>
    <row r="279" spans="1:11" ht="31.2" thickBot="1">
      <c r="A279" s="6" t="s">
        <v>151</v>
      </c>
      <c r="B279" s="6" t="s">
        <v>698</v>
      </c>
      <c r="C279" s="6" t="s">
        <v>702</v>
      </c>
      <c r="D279" s="6"/>
      <c r="E279" s="7"/>
      <c r="F279" s="9" t="s">
        <v>700</v>
      </c>
      <c r="G279" s="12" t="s">
        <v>771</v>
      </c>
      <c r="H279" s="12" t="s">
        <v>407</v>
      </c>
      <c r="J279" t="s">
        <v>404</v>
      </c>
      <c r="K279" t="str">
        <f t="shared" si="3"/>
        <v>TS-UD-PRJ-WBS-001test_003_wbs_item_fails_without_code</v>
      </c>
    </row>
    <row r="280" spans="1:11" ht="31.2" thickBot="1">
      <c r="A280" s="6" t="s">
        <v>151</v>
      </c>
      <c r="B280" s="6" t="s">
        <v>698</v>
      </c>
      <c r="C280" s="6" t="s">
        <v>703</v>
      </c>
      <c r="D280" s="6"/>
      <c r="E280" s="7"/>
      <c r="F280" s="9" t="s">
        <v>700</v>
      </c>
      <c r="G280" s="12" t="s">
        <v>771</v>
      </c>
      <c r="H280" s="12" t="s">
        <v>407</v>
      </c>
      <c r="J280" t="s">
        <v>404</v>
      </c>
      <c r="K280" t="str">
        <f t="shared" si="3"/>
        <v>TS-UD-PRJ-WBS-001test_004_wbs_item_fails_without_name</v>
      </c>
    </row>
    <row r="281" spans="1:11" ht="31.2" thickBot="1">
      <c r="A281" s="6" t="s">
        <v>151</v>
      </c>
      <c r="B281" s="6" t="s">
        <v>698</v>
      </c>
      <c r="C281" s="6" t="s">
        <v>704</v>
      </c>
      <c r="D281" s="6"/>
      <c r="E281" s="7"/>
      <c r="F281" s="9" t="s">
        <v>700</v>
      </c>
      <c r="G281" s="12" t="s">
        <v>771</v>
      </c>
      <c r="H281" s="12" t="s">
        <v>407</v>
      </c>
      <c r="J281" t="s">
        <v>404</v>
      </c>
      <c r="K281" t="str">
        <f t="shared" ref="K281:K331" si="4">CONCATENATE(A281,C281)</f>
        <v>TS-UD-PRJ-WBS-001test_005_wbs_item_fails_invalid_level</v>
      </c>
    </row>
    <row r="282" spans="1:11" ht="31.2" thickBot="1">
      <c r="A282" s="6" t="s">
        <v>151</v>
      </c>
      <c r="B282" s="6" t="s">
        <v>698</v>
      </c>
      <c r="C282" s="6" t="s">
        <v>705</v>
      </c>
      <c r="D282" s="6"/>
      <c r="E282" s="7"/>
      <c r="F282" s="9" t="s">
        <v>700</v>
      </c>
      <c r="G282" s="12" t="s">
        <v>771</v>
      </c>
      <c r="H282" s="12" t="s">
        <v>407</v>
      </c>
      <c r="J282" t="s">
        <v>404</v>
      </c>
      <c r="K282" t="str">
        <f t="shared" si="4"/>
        <v>TS-UD-PRJ-WBS-001test_006_wbs_item_immutability</v>
      </c>
    </row>
    <row r="283" spans="1:11" ht="31.2" thickBot="1">
      <c r="A283" s="6" t="s">
        <v>151</v>
      </c>
      <c r="B283" s="6" t="s">
        <v>698</v>
      </c>
      <c r="C283" s="6" t="s">
        <v>706</v>
      </c>
      <c r="D283" s="6"/>
      <c r="E283" s="7"/>
      <c r="F283" s="9" t="s">
        <v>700</v>
      </c>
      <c r="G283" s="12" t="s">
        <v>771</v>
      </c>
      <c r="H283" s="12" t="s">
        <v>407</v>
      </c>
      <c r="J283" t="s">
        <v>404</v>
      </c>
      <c r="K283" t="str">
        <f t="shared" si="4"/>
        <v>TS-UD-PRJ-WBS-001test_007_wbs_code_format_1</v>
      </c>
    </row>
    <row r="284" spans="1:11" ht="31.2" thickBot="1">
      <c r="A284" s="6" t="s">
        <v>151</v>
      </c>
      <c r="B284" s="6" t="s">
        <v>698</v>
      </c>
      <c r="C284" s="6" t="s">
        <v>707</v>
      </c>
      <c r="D284" s="6"/>
      <c r="E284" s="7"/>
      <c r="F284" s="9" t="s">
        <v>700</v>
      </c>
      <c r="G284" s="12" t="s">
        <v>771</v>
      </c>
      <c r="H284" s="12" t="s">
        <v>407</v>
      </c>
      <c r="J284" t="s">
        <v>404</v>
      </c>
      <c r="K284" t="str">
        <f t="shared" si="4"/>
        <v>TS-UD-PRJ-WBS-001test_008_wbs_code_format_1_1</v>
      </c>
    </row>
    <row r="285" spans="1:11" ht="31.2" thickBot="1">
      <c r="A285" s="6" t="s">
        <v>151</v>
      </c>
      <c r="B285" s="6" t="s">
        <v>698</v>
      </c>
      <c r="C285" s="6" t="s">
        <v>708</v>
      </c>
      <c r="D285" s="6"/>
      <c r="E285" s="7"/>
      <c r="F285" s="9" t="s">
        <v>700</v>
      </c>
      <c r="G285" s="12" t="s">
        <v>771</v>
      </c>
      <c r="H285" s="12" t="s">
        <v>407</v>
      </c>
      <c r="J285" t="s">
        <v>404</v>
      </c>
      <c r="K285" t="str">
        <f t="shared" si="4"/>
        <v>TS-UD-PRJ-WBS-001test_009_wbs_code_format_1_1_1</v>
      </c>
    </row>
    <row r="286" spans="1:11" ht="31.2" thickBot="1">
      <c r="A286" s="6" t="s">
        <v>151</v>
      </c>
      <c r="B286" s="6" t="s">
        <v>698</v>
      </c>
      <c r="C286" s="6" t="s">
        <v>709</v>
      </c>
      <c r="D286" s="6"/>
      <c r="E286" s="7"/>
      <c r="F286" s="9" t="s">
        <v>700</v>
      </c>
      <c r="G286" s="12" t="s">
        <v>771</v>
      </c>
      <c r="H286" s="12" t="s">
        <v>407</v>
      </c>
      <c r="J286" t="s">
        <v>404</v>
      </c>
      <c r="K286" t="str">
        <f t="shared" si="4"/>
        <v>TS-UD-PRJ-WBS-001test_010_wbs_code_format_1_1_1_1</v>
      </c>
    </row>
    <row r="287" spans="1:11" ht="31.2" thickBot="1">
      <c r="A287" s="6" t="s">
        <v>151</v>
      </c>
      <c r="B287" s="6" t="s">
        <v>698</v>
      </c>
      <c r="C287" s="6" t="s">
        <v>710</v>
      </c>
      <c r="D287" s="6"/>
      <c r="E287" s="7"/>
      <c r="F287" s="9" t="s">
        <v>700</v>
      </c>
      <c r="G287" s="12" t="s">
        <v>771</v>
      </c>
      <c r="H287" s="12" t="s">
        <v>407</v>
      </c>
      <c r="J287" t="s">
        <v>404</v>
      </c>
      <c r="K287" t="str">
        <f t="shared" si="4"/>
        <v>TS-UD-PRJ-WBS-001test_011_wbs_code_invalid_format_rejected</v>
      </c>
    </row>
    <row r="288" spans="1:11" ht="31.2" thickBot="1">
      <c r="A288" s="6" t="s">
        <v>151</v>
      </c>
      <c r="B288" s="6" t="s">
        <v>698</v>
      </c>
      <c r="C288" s="6" t="s">
        <v>711</v>
      </c>
      <c r="D288" s="6"/>
      <c r="E288" s="7"/>
      <c r="F288" s="9" t="s">
        <v>700</v>
      </c>
      <c r="G288" s="12" t="s">
        <v>771</v>
      </c>
      <c r="H288" s="12" t="s">
        <v>407</v>
      </c>
      <c r="J288" t="s">
        <v>404</v>
      </c>
      <c r="K288" t="str">
        <f t="shared" si="4"/>
        <v>TS-UD-PRJ-WBS-001test_012_wbs_code_uniqueness_per_project</v>
      </c>
    </row>
    <row r="289" spans="1:11" ht="16.2" thickBot="1">
      <c r="A289" s="6" t="s">
        <v>151</v>
      </c>
      <c r="B289" s="6" t="s">
        <v>698</v>
      </c>
      <c r="C289" s="6" t="s">
        <v>712</v>
      </c>
      <c r="D289" s="6"/>
      <c r="E289" s="7"/>
      <c r="F289" s="9" t="s">
        <v>700</v>
      </c>
      <c r="G289" s="12" t="s">
        <v>771</v>
      </c>
      <c r="H289" s="12" t="s">
        <v>407</v>
      </c>
      <c r="J289" t="s">
        <v>404</v>
      </c>
      <c r="K289" t="str">
        <f t="shared" si="4"/>
        <v>TS-UD-PRJ-WBS-001test_013_wbs_level_1_valid</v>
      </c>
    </row>
    <row r="290" spans="1:11" ht="16.2" thickBot="1">
      <c r="A290" s="6" t="s">
        <v>151</v>
      </c>
      <c r="B290" s="6" t="s">
        <v>698</v>
      </c>
      <c r="C290" s="6" t="s">
        <v>713</v>
      </c>
      <c r="D290" s="6"/>
      <c r="E290" s="7"/>
      <c r="F290" s="9" t="s">
        <v>700</v>
      </c>
      <c r="G290" s="12" t="s">
        <v>771</v>
      </c>
      <c r="H290" s="12" t="s">
        <v>407</v>
      </c>
      <c r="J290" t="s">
        <v>404</v>
      </c>
      <c r="K290" t="str">
        <f t="shared" si="4"/>
        <v>TS-UD-PRJ-WBS-001test_014_wbs_level_4_valid</v>
      </c>
    </row>
    <row r="291" spans="1:11" ht="31.2" thickBot="1">
      <c r="A291" s="6" t="s">
        <v>151</v>
      </c>
      <c r="B291" s="6" t="s">
        <v>698</v>
      </c>
      <c r="C291" s="6" t="s">
        <v>714</v>
      </c>
      <c r="D291" s="6"/>
      <c r="E291" s="7"/>
      <c r="F291" s="9" t="s">
        <v>700</v>
      </c>
      <c r="G291" s="12" t="s">
        <v>771</v>
      </c>
      <c r="H291" s="12" t="s">
        <v>407</v>
      </c>
      <c r="J291" t="s">
        <v>404</v>
      </c>
      <c r="K291" t="str">
        <f t="shared" si="4"/>
        <v>TS-UD-PRJ-WBS-001test_015_wbs_level_0_invalid</v>
      </c>
    </row>
    <row r="292" spans="1:11" ht="31.2" thickBot="1">
      <c r="A292" s="6" t="s">
        <v>151</v>
      </c>
      <c r="B292" s="6" t="s">
        <v>698</v>
      </c>
      <c r="C292" s="6" t="s">
        <v>715</v>
      </c>
      <c r="D292" s="6"/>
      <c r="E292" s="7"/>
      <c r="F292" s="9" t="s">
        <v>700</v>
      </c>
      <c r="G292" s="12" t="s">
        <v>771</v>
      </c>
      <c r="H292" s="12" t="s">
        <v>407</v>
      </c>
      <c r="J292" t="s">
        <v>404</v>
      </c>
      <c r="K292" t="str">
        <f t="shared" si="4"/>
        <v>TS-UD-PRJ-WBS-001test_016_wbs_level_5_invalid</v>
      </c>
    </row>
    <row r="293" spans="1:11" ht="31.2" thickBot="1">
      <c r="A293" s="6" t="s">
        <v>151</v>
      </c>
      <c r="B293" s="6" t="s">
        <v>698</v>
      </c>
      <c r="C293" s="6" t="s">
        <v>716</v>
      </c>
      <c r="D293" s="6"/>
      <c r="E293" s="7"/>
      <c r="F293" s="9" t="s">
        <v>700</v>
      </c>
      <c r="G293" s="12" t="s">
        <v>771</v>
      </c>
      <c r="H293" s="12" t="s">
        <v>407</v>
      </c>
      <c r="J293" t="s">
        <v>404</v>
      </c>
      <c r="K293" t="str">
        <f t="shared" si="4"/>
        <v>TS-UD-PRJ-WBS-001test_017_wbs_level_matches_code_depth</v>
      </c>
    </row>
    <row r="294" spans="1:11" ht="31.2" thickBot="1">
      <c r="A294" s="6" t="s">
        <v>151</v>
      </c>
      <c r="B294" s="6" t="s">
        <v>698</v>
      </c>
      <c r="C294" s="6" t="s">
        <v>717</v>
      </c>
      <c r="D294" s="6"/>
      <c r="E294" s="7"/>
      <c r="F294" s="9" t="s">
        <v>700</v>
      </c>
      <c r="G294" s="12" t="s">
        <v>771</v>
      </c>
      <c r="H294" s="12" t="s">
        <v>407</v>
      </c>
      <c r="J294" t="s">
        <v>404</v>
      </c>
      <c r="K294" t="str">
        <f t="shared" si="4"/>
        <v>TS-UD-PRJ-WBS-001test_018_wbs_level_parent_child_validation</v>
      </c>
    </row>
    <row r="295" spans="1:11" ht="16.2" thickBot="1">
      <c r="A295" s="6" t="s">
        <v>152</v>
      </c>
      <c r="B295" s="6" t="s">
        <v>698</v>
      </c>
      <c r="C295" s="6" t="s">
        <v>526</v>
      </c>
      <c r="D295" s="6"/>
      <c r="E295" s="7"/>
      <c r="F295" s="5"/>
      <c r="J295" t="s">
        <v>404</v>
      </c>
      <c r="K295" t="str">
        <f t="shared" si="4"/>
        <v>TS-UD-PRJ-WBS-002Tests not individually listed</v>
      </c>
    </row>
    <row r="296" spans="1:11" ht="16.2" thickBot="1">
      <c r="A296" s="6" t="s">
        <v>153</v>
      </c>
      <c r="B296" s="6" t="s">
        <v>698</v>
      </c>
      <c r="C296" s="6" t="s">
        <v>526</v>
      </c>
      <c r="D296" s="6"/>
      <c r="E296" s="7"/>
      <c r="F296" s="5"/>
      <c r="J296" t="s">
        <v>404</v>
      </c>
      <c r="K296" t="str">
        <f t="shared" si="4"/>
        <v>TS-UD-PRJ-WBS-003Tests not individually listed</v>
      </c>
    </row>
    <row r="297" spans="1:11" ht="16.2" thickBot="1">
      <c r="A297" s="6" t="s">
        <v>154</v>
      </c>
      <c r="B297" s="6" t="s">
        <v>698</v>
      </c>
      <c r="C297" s="6" t="s">
        <v>526</v>
      </c>
      <c r="D297" s="6"/>
      <c r="E297" s="7"/>
      <c r="F297" s="5"/>
      <c r="J297" t="s">
        <v>404</v>
      </c>
      <c r="K297" t="str">
        <f t="shared" si="4"/>
        <v>TS-UD-PRJ-WBS-004Tests not individually listed</v>
      </c>
    </row>
    <row r="298" spans="1:11" ht="16.2" thickBot="1">
      <c r="A298" s="6" t="s">
        <v>155</v>
      </c>
      <c r="B298" s="6" t="s">
        <v>698</v>
      </c>
      <c r="C298" s="6" t="s">
        <v>526</v>
      </c>
      <c r="D298" s="6"/>
      <c r="E298" s="7"/>
      <c r="F298" s="5"/>
      <c r="J298" t="s">
        <v>404</v>
      </c>
      <c r="K298" t="str">
        <f t="shared" si="4"/>
        <v>TS-UD-PRJ-PRJ-001Tests not individually listed</v>
      </c>
    </row>
    <row r="299" spans="1:11" ht="16.2" thickBot="1">
      <c r="A299" s="6" t="s">
        <v>156</v>
      </c>
      <c r="B299" s="6" t="s">
        <v>698</v>
      </c>
      <c r="C299" s="6" t="s">
        <v>526</v>
      </c>
      <c r="D299" s="6"/>
      <c r="E299" s="7"/>
      <c r="F299" s="5"/>
      <c r="J299" t="s">
        <v>404</v>
      </c>
      <c r="K299" t="str">
        <f t="shared" si="4"/>
        <v>TS-UD-PRJ-DTO-001Tests not individually listed</v>
      </c>
    </row>
    <row r="300" spans="1:11" ht="16.2" thickBot="1">
      <c r="A300" s="6" t="s">
        <v>157</v>
      </c>
      <c r="B300" s="6" t="s">
        <v>718</v>
      </c>
      <c r="C300" s="6" t="s">
        <v>526</v>
      </c>
      <c r="D300" s="6"/>
      <c r="E300" s="7"/>
      <c r="F300" s="5"/>
      <c r="J300" t="s">
        <v>404</v>
      </c>
      <c r="K300" t="str">
        <f t="shared" si="4"/>
        <v>TS-UD-PROC-BOM-001Tests not individually listed</v>
      </c>
    </row>
    <row r="301" spans="1:11" ht="16.2" thickBot="1">
      <c r="A301" s="6" t="s">
        <v>158</v>
      </c>
      <c r="B301" s="6" t="s">
        <v>718</v>
      </c>
      <c r="C301" s="6" t="s">
        <v>526</v>
      </c>
      <c r="D301" s="6"/>
      <c r="E301" s="7"/>
      <c r="F301" s="5"/>
      <c r="J301" t="s">
        <v>404</v>
      </c>
      <c r="K301" t="str">
        <f t="shared" si="4"/>
        <v>TS-UD-PROC-BOM-002Tests not individually listed</v>
      </c>
    </row>
    <row r="302" spans="1:11" ht="31.2" thickBot="1">
      <c r="A302" s="6" t="s">
        <v>159</v>
      </c>
      <c r="B302" s="6" t="s">
        <v>718</v>
      </c>
      <c r="C302" s="6" t="s">
        <v>719</v>
      </c>
      <c r="D302" s="6"/>
      <c r="E302" s="7"/>
      <c r="F302" s="9" t="s">
        <v>720</v>
      </c>
      <c r="G302" s="12" t="s">
        <v>771</v>
      </c>
      <c r="H302" s="12" t="s">
        <v>407</v>
      </c>
      <c r="I302" t="s">
        <v>811</v>
      </c>
      <c r="J302" t="s">
        <v>404</v>
      </c>
      <c r="K302" t="str">
        <f t="shared" si="4"/>
        <v>TS-UD-PROC-LTM-001test_001_optimal_date_production_only</v>
      </c>
    </row>
    <row r="303" spans="1:11" ht="31.2" thickBot="1">
      <c r="A303" s="6" t="s">
        <v>159</v>
      </c>
      <c r="B303" s="6" t="s">
        <v>718</v>
      </c>
      <c r="C303" s="6" t="s">
        <v>721</v>
      </c>
      <c r="D303" s="6"/>
      <c r="E303" s="7"/>
      <c r="F303" s="9" t="s">
        <v>720</v>
      </c>
      <c r="G303" s="12" t="s">
        <v>771</v>
      </c>
      <c r="H303" s="12" t="s">
        <v>407</v>
      </c>
      <c r="J303" t="s">
        <v>404</v>
      </c>
      <c r="K303" t="str">
        <f t="shared" si="4"/>
        <v>TS-UD-PROC-LTM-001test_002_optimal_date_production_transit</v>
      </c>
    </row>
    <row r="304" spans="1:11" ht="31.2" thickBot="1">
      <c r="A304" s="6" t="s">
        <v>159</v>
      </c>
      <c r="B304" s="6" t="s">
        <v>718</v>
      </c>
      <c r="C304" s="6" t="s">
        <v>722</v>
      </c>
      <c r="D304" s="6"/>
      <c r="E304" s="7"/>
      <c r="F304" s="9" t="s">
        <v>720</v>
      </c>
      <c r="G304" s="12" t="s">
        <v>771</v>
      </c>
      <c r="H304" s="12" t="s">
        <v>407</v>
      </c>
      <c r="J304" t="s">
        <v>404</v>
      </c>
      <c r="K304" t="str">
        <f t="shared" si="4"/>
        <v>TS-UD-PROC-LTM-001test_003_optimal_date_production_transit_buffer</v>
      </c>
    </row>
    <row r="305" spans="1:11" ht="31.2" thickBot="1">
      <c r="A305" s="6" t="s">
        <v>159</v>
      </c>
      <c r="B305" s="6" t="s">
        <v>718</v>
      </c>
      <c r="C305" s="6" t="s">
        <v>723</v>
      </c>
      <c r="D305" s="6"/>
      <c r="E305" s="7"/>
      <c r="F305" s="9" t="s">
        <v>720</v>
      </c>
      <c r="G305" s="12" t="s">
        <v>771</v>
      </c>
      <c r="H305" s="12" t="s">
        <v>407</v>
      </c>
      <c r="J305" t="s">
        <v>404</v>
      </c>
      <c r="K305" t="str">
        <f t="shared" si="4"/>
        <v>TS-UD-PROC-LTM-001test_004_optimal_date_all_components</v>
      </c>
    </row>
    <row r="306" spans="1:11" ht="31.2" thickBot="1">
      <c r="A306" s="6" t="s">
        <v>159</v>
      </c>
      <c r="B306" s="6" t="s">
        <v>718</v>
      </c>
      <c r="C306" s="6" t="s">
        <v>724</v>
      </c>
      <c r="D306" s="6"/>
      <c r="E306" s="7"/>
      <c r="F306" s="9" t="s">
        <v>720</v>
      </c>
      <c r="G306" s="12" t="s">
        <v>771</v>
      </c>
      <c r="H306" s="12" t="s">
        <v>407</v>
      </c>
      <c r="J306" t="s">
        <v>404</v>
      </c>
      <c r="K306" t="str">
        <f t="shared" si="4"/>
        <v>TS-UD-PROC-LTM-001test_005_lead_time_breakdown_returned</v>
      </c>
    </row>
    <row r="307" spans="1:11" ht="31.2" thickBot="1">
      <c r="A307" s="6" t="s">
        <v>159</v>
      </c>
      <c r="B307" s="6" t="s">
        <v>718</v>
      </c>
      <c r="C307" s="6" t="s">
        <v>725</v>
      </c>
      <c r="D307" s="6"/>
      <c r="E307" s="7"/>
      <c r="F307" s="9" t="s">
        <v>720</v>
      </c>
      <c r="G307" s="12" t="s">
        <v>771</v>
      </c>
      <c r="H307" s="12" t="s">
        <v>407</v>
      </c>
      <c r="J307" t="s">
        <v>404</v>
      </c>
      <c r="K307" t="str">
        <f t="shared" si="4"/>
        <v>TS-UD-PROC-LTM-001test_006_required_on_site_calculation</v>
      </c>
    </row>
    <row r="308" spans="1:11" ht="31.2" thickBot="1">
      <c r="A308" s="6" t="s">
        <v>159</v>
      </c>
      <c r="B308" s="6" t="s">
        <v>718</v>
      </c>
      <c r="C308" s="6" t="s">
        <v>726</v>
      </c>
      <c r="D308" s="6"/>
      <c r="E308" s="7"/>
      <c r="F308" s="9" t="s">
        <v>720</v>
      </c>
      <c r="G308" s="12" t="s">
        <v>771</v>
      </c>
      <c r="H308" s="12" t="s">
        <v>407</v>
      </c>
      <c r="J308" t="s">
        <v>404</v>
      </c>
      <c r="K308" t="str">
        <f t="shared" si="4"/>
        <v>TS-UD-PROC-LTM-001test_007_business_days_calculation</v>
      </c>
    </row>
    <row r="309" spans="1:11" ht="31.2" thickBot="1">
      <c r="A309" s="6" t="s">
        <v>159</v>
      </c>
      <c r="B309" s="6" t="s">
        <v>718</v>
      </c>
      <c r="C309" s="6" t="s">
        <v>727</v>
      </c>
      <c r="D309" s="6"/>
      <c r="E309" s="7"/>
      <c r="F309" s="9" t="s">
        <v>720</v>
      </c>
      <c r="G309" s="12" t="s">
        <v>771</v>
      </c>
      <c r="H309" s="12" t="s">
        <v>407</v>
      </c>
      <c r="J309" t="s">
        <v>404</v>
      </c>
      <c r="K309" t="str">
        <f t="shared" si="4"/>
        <v>TS-UD-PROC-LTM-001test_008_weekend_exclusion</v>
      </c>
    </row>
    <row r="310" spans="1:11" ht="16.2" thickBot="1">
      <c r="A310" s="6" t="s">
        <v>159</v>
      </c>
      <c r="B310" s="6" t="s">
        <v>718</v>
      </c>
      <c r="C310" s="6" t="s">
        <v>728</v>
      </c>
      <c r="D310" s="6"/>
      <c r="E310" s="7"/>
      <c r="F310" s="9" t="s">
        <v>720</v>
      </c>
      <c r="G310" s="12" t="s">
        <v>771</v>
      </c>
      <c r="H310" s="12" t="s">
        <v>407</v>
      </c>
      <c r="J310" t="s">
        <v>404</v>
      </c>
      <c r="K310" t="str">
        <f t="shared" si="4"/>
        <v>TS-UD-PROC-LTM-001test_009_holiday_exclusion</v>
      </c>
    </row>
    <row r="311" spans="1:11" ht="31.2" thickBot="1">
      <c r="A311" s="6" t="s">
        <v>159</v>
      </c>
      <c r="B311" s="6" t="s">
        <v>718</v>
      </c>
      <c r="C311" s="6" t="s">
        <v>729</v>
      </c>
      <c r="D311" s="6"/>
      <c r="E311" s="7"/>
      <c r="F311" s="9" t="s">
        <v>720</v>
      </c>
      <c r="G311" s="12" t="s">
        <v>771</v>
      </c>
      <c r="H311" s="12" t="s">
        <v>407</v>
      </c>
      <c r="J311" t="s">
        <v>404</v>
      </c>
      <c r="K311" t="str">
        <f t="shared" si="4"/>
        <v>TS-UD-PROC-LTM-001test_010_delivery_on_weekend_adjusted</v>
      </c>
    </row>
    <row r="312" spans="1:11" ht="31.2" thickBot="1">
      <c r="A312" s="6" t="s">
        <v>159</v>
      </c>
      <c r="B312" s="6" t="s">
        <v>718</v>
      </c>
      <c r="C312" s="6" t="s">
        <v>730</v>
      </c>
      <c r="D312" s="6"/>
      <c r="E312" s="7"/>
      <c r="F312" s="9" t="s">
        <v>720</v>
      </c>
      <c r="G312" s="12" t="s">
        <v>771</v>
      </c>
      <c r="H312" s="12" t="s">
        <v>407</v>
      </c>
      <c r="J312" t="s">
        <v>404</v>
      </c>
      <c r="K312" t="str">
        <f t="shared" si="4"/>
        <v>TS-UD-PROC-LTM-001test_011_mixed_calendar_business_days</v>
      </c>
    </row>
    <row r="313" spans="1:11" ht="31.2" thickBot="1">
      <c r="A313" s="6" t="s">
        <v>159</v>
      </c>
      <c r="B313" s="6" t="s">
        <v>718</v>
      </c>
      <c r="C313" s="6" t="s">
        <v>731</v>
      </c>
      <c r="D313" s="6"/>
      <c r="E313" s="7"/>
      <c r="F313" s="9" t="s">
        <v>720</v>
      </c>
      <c r="G313" s="12" t="s">
        <v>771</v>
      </c>
      <c r="H313" s="12" t="s">
        <v>407</v>
      </c>
      <c r="J313" t="s">
        <v>404</v>
      </c>
      <c r="K313" t="str">
        <f t="shared" si="4"/>
        <v>TS-UD-PROC-LTM-001test_012_alert_r14_date_passed</v>
      </c>
    </row>
    <row r="314" spans="1:11" ht="31.2" thickBot="1">
      <c r="A314" s="6" t="s">
        <v>159</v>
      </c>
      <c r="B314" s="6" t="s">
        <v>718</v>
      </c>
      <c r="C314" s="6" t="s">
        <v>732</v>
      </c>
      <c r="D314" s="6"/>
      <c r="E314" s="7"/>
      <c r="F314" s="9" t="s">
        <v>720</v>
      </c>
      <c r="G314" s="12" t="s">
        <v>771</v>
      </c>
      <c r="H314" s="12" t="s">
        <v>407</v>
      </c>
      <c r="J314" t="s">
        <v>404</v>
      </c>
      <c r="K314" t="str">
        <f t="shared" si="4"/>
        <v>TS-UD-PROC-LTM-001test_013_alert_r14_tight_margin_3_days</v>
      </c>
    </row>
    <row r="315" spans="1:11" ht="31.2" thickBot="1">
      <c r="A315" s="6" t="s">
        <v>159</v>
      </c>
      <c r="B315" s="6" t="s">
        <v>718</v>
      </c>
      <c r="C315" s="6" t="s">
        <v>733</v>
      </c>
      <c r="D315" s="6"/>
      <c r="E315" s="7"/>
      <c r="F315" s="9" t="s">
        <v>720</v>
      </c>
      <c r="G315" s="12" t="s">
        <v>771</v>
      </c>
      <c r="H315" s="12" t="s">
        <v>407</v>
      </c>
      <c r="J315" t="s">
        <v>404</v>
      </c>
      <c r="K315" t="str">
        <f t="shared" si="4"/>
        <v>TS-UD-PROC-LTM-001test_014_alert_severity_critical_passed</v>
      </c>
    </row>
    <row r="316" spans="1:11" ht="31.2" thickBot="1">
      <c r="A316" s="6" t="s">
        <v>159</v>
      </c>
      <c r="B316" s="6" t="s">
        <v>718</v>
      </c>
      <c r="C316" s="6" t="s">
        <v>734</v>
      </c>
      <c r="D316" s="6"/>
      <c r="E316" s="7"/>
      <c r="F316" s="9" t="s">
        <v>720</v>
      </c>
      <c r="G316" s="12" t="s">
        <v>771</v>
      </c>
      <c r="H316" s="12" t="s">
        <v>407</v>
      </c>
      <c r="J316" t="s">
        <v>404</v>
      </c>
      <c r="K316" t="str">
        <f t="shared" si="4"/>
        <v>TS-UD-PROC-LTM-001test_015_alert_severity_warning_tight</v>
      </c>
    </row>
    <row r="317" spans="1:11" ht="31.2" thickBot="1">
      <c r="A317" s="6" t="s">
        <v>159</v>
      </c>
      <c r="B317" s="6" t="s">
        <v>718</v>
      </c>
      <c r="C317" s="6" t="s">
        <v>735</v>
      </c>
      <c r="D317" s="6"/>
      <c r="E317" s="7"/>
      <c r="F317" s="9" t="s">
        <v>720</v>
      </c>
      <c r="G317" s="12" t="s">
        <v>771</v>
      </c>
      <c r="H317" s="12" t="s">
        <v>407</v>
      </c>
      <c r="J317" t="s">
        <v>404</v>
      </c>
      <c r="K317" t="str">
        <f t="shared" si="4"/>
        <v>TS-UD-PROC-LTM-001test_016_no_alert_sufficient_margin</v>
      </c>
    </row>
    <row r="318" spans="1:11" ht="31.2" thickBot="1">
      <c r="A318" s="6" t="s">
        <v>160</v>
      </c>
      <c r="B318" s="6" t="s">
        <v>718</v>
      </c>
      <c r="C318" s="6" t="s">
        <v>736</v>
      </c>
      <c r="D318" s="6"/>
      <c r="E318" s="7"/>
      <c r="F318" s="9" t="s">
        <v>737</v>
      </c>
      <c r="G318" s="12" t="s">
        <v>771</v>
      </c>
      <c r="J318" t="s">
        <v>404</v>
      </c>
      <c r="K318" t="str">
        <f t="shared" si="4"/>
        <v>TS-UD-PROC-LTM-002test_001_exw_buyer_full_responsibility</v>
      </c>
    </row>
    <row r="319" spans="1:11" ht="31.2" thickBot="1">
      <c r="A319" s="6" t="s">
        <v>160</v>
      </c>
      <c r="B319" s="6" t="s">
        <v>718</v>
      </c>
      <c r="C319" s="6" t="s">
        <v>738</v>
      </c>
      <c r="D319" s="6"/>
      <c r="E319" s="7"/>
      <c r="F319" s="9" t="s">
        <v>737</v>
      </c>
      <c r="G319" s="12" t="s">
        <v>771</v>
      </c>
      <c r="J319" t="s">
        <v>404</v>
      </c>
      <c r="K319" t="str">
        <f t="shared" si="4"/>
        <v>TS-UD-PROC-LTM-002test_002_exw_transit_time_included</v>
      </c>
    </row>
    <row r="320" spans="1:11" ht="31.2" thickBot="1">
      <c r="A320" s="6" t="s">
        <v>160</v>
      </c>
      <c r="B320" s="6" t="s">
        <v>718</v>
      </c>
      <c r="C320" s="6" t="s">
        <v>739</v>
      </c>
      <c r="D320" s="6"/>
      <c r="E320" s="7"/>
      <c r="F320" s="9" t="s">
        <v>737</v>
      </c>
      <c r="G320" s="12" t="s">
        <v>771</v>
      </c>
      <c r="J320" t="s">
        <v>404</v>
      </c>
      <c r="K320" t="str">
        <f t="shared" si="4"/>
        <v>TS-UD-PROC-LTM-002test_003_exw_customs_included</v>
      </c>
    </row>
    <row r="321" spans="1:11" ht="31.2" thickBot="1">
      <c r="A321" s="6" t="s">
        <v>160</v>
      </c>
      <c r="B321" s="6" t="s">
        <v>718</v>
      </c>
      <c r="C321" s="6" t="s">
        <v>740</v>
      </c>
      <c r="D321" s="6"/>
      <c r="E321" s="7"/>
      <c r="F321" s="9" t="s">
        <v>737</v>
      </c>
      <c r="G321" s="12" t="s">
        <v>771</v>
      </c>
      <c r="J321" t="s">
        <v>404</v>
      </c>
      <c r="K321" t="str">
        <f t="shared" si="4"/>
        <v>TS-UD-PROC-LTM-002test_004_fob_shared_responsibility</v>
      </c>
    </row>
    <row r="322" spans="1:11" ht="31.2" thickBot="1">
      <c r="A322" s="6" t="s">
        <v>160</v>
      </c>
      <c r="B322" s="6" t="s">
        <v>718</v>
      </c>
      <c r="C322" s="6" t="s">
        <v>741</v>
      </c>
      <c r="D322" s="6"/>
      <c r="E322" s="7"/>
      <c r="F322" s="9" t="s">
        <v>737</v>
      </c>
      <c r="G322" s="12" t="s">
        <v>771</v>
      </c>
      <c r="J322" t="s">
        <v>404</v>
      </c>
      <c r="K322" t="str">
        <f t="shared" si="4"/>
        <v>TS-UD-PROC-LTM-002test_005_fob_port_handover</v>
      </c>
    </row>
    <row r="323" spans="1:11" ht="31.2" thickBot="1">
      <c r="A323" s="6" t="s">
        <v>160</v>
      </c>
      <c r="B323" s="6" t="s">
        <v>718</v>
      </c>
      <c r="C323" s="6" t="s">
        <v>742</v>
      </c>
      <c r="D323" s="6"/>
      <c r="E323" s="7"/>
      <c r="F323" s="9" t="s">
        <v>737</v>
      </c>
      <c r="G323" s="12" t="s">
        <v>771</v>
      </c>
      <c r="J323" t="s">
        <v>404</v>
      </c>
      <c r="K323" t="str">
        <f t="shared" si="4"/>
        <v>TS-UD-PROC-LTM-002test_006_fob_insurance_buyer</v>
      </c>
    </row>
    <row r="324" spans="1:11" ht="31.2" thickBot="1">
      <c r="A324" s="6" t="s">
        <v>160</v>
      </c>
      <c r="B324" s="6" t="s">
        <v>718</v>
      </c>
      <c r="C324" s="6" t="s">
        <v>743</v>
      </c>
      <c r="D324" s="6"/>
      <c r="E324" s="7"/>
      <c r="F324" s="9" t="s">
        <v>737</v>
      </c>
      <c r="G324" s="12" t="s">
        <v>771</v>
      </c>
      <c r="J324" t="s">
        <v>404</v>
      </c>
      <c r="K324" t="str">
        <f t="shared" si="4"/>
        <v>TS-UD-PROC-LTM-002test_007_cif_seller_insurance</v>
      </c>
    </row>
    <row r="325" spans="1:11" ht="16.2" thickBot="1">
      <c r="A325" s="6" t="s">
        <v>160</v>
      </c>
      <c r="B325" s="6" t="s">
        <v>718</v>
      </c>
      <c r="C325" s="6" t="s">
        <v>744</v>
      </c>
      <c r="D325" s="6"/>
      <c r="E325" s="7"/>
      <c r="F325" s="9" t="s">
        <v>737</v>
      </c>
      <c r="G325" s="12" t="s">
        <v>771</v>
      </c>
      <c r="J325" t="s">
        <v>404</v>
      </c>
      <c r="K325" t="str">
        <f t="shared" si="4"/>
        <v>TS-UD-PROC-LTM-002test_008_cif_port_to_port</v>
      </c>
    </row>
    <row r="326" spans="1:11" ht="31.2" thickBot="1">
      <c r="A326" s="6" t="s">
        <v>160</v>
      </c>
      <c r="B326" s="6" t="s">
        <v>718</v>
      </c>
      <c r="C326" s="6" t="s">
        <v>745</v>
      </c>
      <c r="D326" s="6"/>
      <c r="E326" s="7"/>
      <c r="F326" s="9" t="s">
        <v>737</v>
      </c>
      <c r="G326" s="12" t="s">
        <v>771</v>
      </c>
      <c r="J326" t="s">
        <v>404</v>
      </c>
      <c r="K326" t="str">
        <f t="shared" si="4"/>
        <v>TS-UD-PROC-LTM-002test_009_cif_customs_buyer</v>
      </c>
    </row>
    <row r="327" spans="1:11" ht="31.2" thickBot="1">
      <c r="A327" s="6" t="s">
        <v>160</v>
      </c>
      <c r="B327" s="6" t="s">
        <v>718</v>
      </c>
      <c r="C327" s="6" t="s">
        <v>746</v>
      </c>
      <c r="D327" s="6"/>
      <c r="E327" s="7"/>
      <c r="F327" s="9" t="s">
        <v>737</v>
      </c>
      <c r="G327" s="12" t="s">
        <v>771</v>
      </c>
      <c r="J327" t="s">
        <v>404</v>
      </c>
      <c r="K327" t="str">
        <f t="shared" si="4"/>
        <v>TS-UD-PROC-LTM-002test_010_ddp_seller_full_responsibility</v>
      </c>
    </row>
    <row r="328" spans="1:11" ht="31.2" thickBot="1">
      <c r="A328" s="6" t="s">
        <v>160</v>
      </c>
      <c r="B328" s="6" t="s">
        <v>718</v>
      </c>
      <c r="C328" s="6" t="s">
        <v>747</v>
      </c>
      <c r="D328" s="6"/>
      <c r="E328" s="7"/>
      <c r="F328" s="9" t="s">
        <v>737</v>
      </c>
      <c r="G328" s="12" t="s">
        <v>771</v>
      </c>
      <c r="J328" t="s">
        <v>404</v>
      </c>
      <c r="K328" t="str">
        <f t="shared" si="4"/>
        <v>TS-UD-PROC-LTM-002test_011_ddp_no_customs_buyer</v>
      </c>
    </row>
    <row r="329" spans="1:11" ht="31.2" thickBot="1">
      <c r="A329" s="6" t="s">
        <v>160</v>
      </c>
      <c r="B329" s="6" t="s">
        <v>718</v>
      </c>
      <c r="C329" s="6" t="s">
        <v>748</v>
      </c>
      <c r="D329" s="6"/>
      <c r="E329" s="7"/>
      <c r="F329" s="9" t="s">
        <v>737</v>
      </c>
      <c r="G329" s="12" t="s">
        <v>771</v>
      </c>
      <c r="J329" t="s">
        <v>404</v>
      </c>
      <c r="K329" t="str">
        <f t="shared" si="4"/>
        <v>TS-UD-PROC-LTM-002test_012_ddp_door_to_door</v>
      </c>
    </row>
    <row r="330" spans="1:11" ht="31.2" thickBot="1">
      <c r="A330" s="6" t="s">
        <v>160</v>
      </c>
      <c r="B330" s="6" t="s">
        <v>718</v>
      </c>
      <c r="C330" s="6" t="s">
        <v>749</v>
      </c>
      <c r="D330" s="6"/>
      <c r="E330" s="7"/>
      <c r="F330" s="9" t="s">
        <v>737</v>
      </c>
      <c r="G330" s="12" t="s">
        <v>771</v>
      </c>
      <c r="J330" t="s">
        <v>404</v>
      </c>
      <c r="K330" t="str">
        <f t="shared" si="4"/>
        <v>TS-UD-PROC-LTM-002test_013_incoterm_comparison_same_route</v>
      </c>
    </row>
    <row r="331" spans="1:11" ht="31.2" thickBot="1">
      <c r="A331" s="6" t="s">
        <v>160</v>
      </c>
      <c r="B331" s="6" t="s">
        <v>718</v>
      </c>
      <c r="C331" s="6" t="s">
        <v>750</v>
      </c>
      <c r="D331" s="6"/>
      <c r="E331" s="7"/>
      <c r="F331" s="9" t="s">
        <v>737</v>
      </c>
      <c r="G331" s="12" t="s">
        <v>771</v>
      </c>
      <c r="J331" t="s">
        <v>404</v>
      </c>
      <c r="K331" t="str">
        <f t="shared" si="4"/>
        <v>TS-UD-PROC-LTM-002test_014_incoterm_impact_on_lead_time</v>
      </c>
    </row>
    <row r="332" spans="1:11" ht="16.2" thickBot="1">
      <c r="A332" s="6" t="s">
        <v>161</v>
      </c>
      <c r="B332" s="6" t="s">
        <v>718</v>
      </c>
      <c r="C332" s="6" t="s">
        <v>526</v>
      </c>
      <c r="D332" s="6"/>
      <c r="E332" s="7"/>
      <c r="F332" s="5"/>
      <c r="J332" t="s">
        <v>404</v>
      </c>
    </row>
    <row r="333" spans="1:11" ht="16.2" thickBot="1">
      <c r="A333" s="6" t="s">
        <v>162</v>
      </c>
      <c r="B333" s="6" t="s">
        <v>718</v>
      </c>
      <c r="C333" s="6" t="s">
        <v>526</v>
      </c>
      <c r="D333" s="6"/>
      <c r="E333" s="7"/>
      <c r="F333" s="5"/>
      <c r="J333" t="s">
        <v>404</v>
      </c>
    </row>
    <row r="334" spans="1:11" ht="16.2" thickBot="1">
      <c r="A334" s="6" t="s">
        <v>163</v>
      </c>
      <c r="B334" s="6" t="s">
        <v>718</v>
      </c>
      <c r="C334" s="6" t="s">
        <v>526</v>
      </c>
      <c r="D334" s="6"/>
      <c r="E334" s="7"/>
      <c r="F334" s="5"/>
      <c r="J334" t="s">
        <v>404</v>
      </c>
    </row>
    <row r="335" spans="1:11" ht="16.2" thickBot="1">
      <c r="A335" s="6" t="s">
        <v>164</v>
      </c>
      <c r="B335" s="6" t="s">
        <v>751</v>
      </c>
      <c r="C335" s="6" t="s">
        <v>526</v>
      </c>
      <c r="D335" s="6"/>
      <c r="E335" s="7"/>
      <c r="F335" s="5"/>
      <c r="J335" t="s">
        <v>404</v>
      </c>
    </row>
    <row r="336" spans="1:11" ht="16.2" thickBot="1">
      <c r="A336" s="6" t="s">
        <v>165</v>
      </c>
      <c r="B336" s="6" t="s">
        <v>751</v>
      </c>
      <c r="C336" s="6" t="s">
        <v>526</v>
      </c>
      <c r="D336" s="6"/>
      <c r="E336" s="7"/>
      <c r="F336" s="5"/>
      <c r="J336" t="s">
        <v>404</v>
      </c>
    </row>
    <row r="337" spans="1:10" ht="16.2" thickBot="1">
      <c r="A337" s="6" t="s">
        <v>166</v>
      </c>
      <c r="B337" s="6" t="s">
        <v>751</v>
      </c>
      <c r="C337" s="6" t="s">
        <v>526</v>
      </c>
      <c r="D337" s="6"/>
      <c r="E337" s="7"/>
      <c r="F337" s="5"/>
      <c r="J337" t="s">
        <v>404</v>
      </c>
    </row>
    <row r="338" spans="1:10" ht="16.2" thickBot="1">
      <c r="A338" s="6" t="s">
        <v>167</v>
      </c>
      <c r="B338" s="6" t="s">
        <v>751</v>
      </c>
      <c r="C338" s="6" t="s">
        <v>526</v>
      </c>
      <c r="D338" s="6"/>
      <c r="E338" s="7"/>
      <c r="F338" s="5" t="s">
        <v>1168</v>
      </c>
    </row>
    <row r="339" spans="1:10" ht="16.2" thickBot="1">
      <c r="A339" s="6" t="s">
        <v>168</v>
      </c>
      <c r="B339" s="6" t="s">
        <v>751</v>
      </c>
      <c r="C339" s="6" t="s">
        <v>526</v>
      </c>
      <c r="D339" s="6"/>
      <c r="E339" s="7"/>
      <c r="F339" s="5" t="s">
        <v>1168</v>
      </c>
    </row>
    <row r="340" spans="1:10" ht="16.2" thickBot="1">
      <c r="A340" s="6" t="s">
        <v>169</v>
      </c>
      <c r="B340" s="6" t="s">
        <v>751</v>
      </c>
      <c r="C340" s="6" t="s">
        <v>526</v>
      </c>
      <c r="D340" s="6"/>
      <c r="E340" s="7"/>
      <c r="F340" s="5" t="s">
        <v>1168</v>
      </c>
    </row>
    <row r="341" spans="1:10" ht="16.2" thickBot="1">
      <c r="A341" s="6" t="s">
        <v>170</v>
      </c>
      <c r="B341" s="6" t="s">
        <v>751</v>
      </c>
      <c r="C341" s="6" t="s">
        <v>526</v>
      </c>
      <c r="D341" s="6"/>
      <c r="E341" s="7"/>
      <c r="F341" s="5" t="s">
        <v>1168</v>
      </c>
    </row>
    <row r="342" spans="1:10" ht="16.2" thickBot="1">
      <c r="A342" s="6" t="s">
        <v>171</v>
      </c>
      <c r="B342" s="6" t="s">
        <v>752</v>
      </c>
      <c r="C342" s="6" t="s">
        <v>526</v>
      </c>
      <c r="D342" s="6"/>
      <c r="E342" s="7"/>
      <c r="F342" s="5" t="s">
        <v>1169</v>
      </c>
    </row>
    <row r="343" spans="1:10" ht="16.2" thickBot="1">
      <c r="A343" s="6" t="s">
        <v>172</v>
      </c>
      <c r="B343" s="6" t="s">
        <v>752</v>
      </c>
      <c r="C343" s="6" t="s">
        <v>526</v>
      </c>
      <c r="D343" s="6"/>
      <c r="E343" s="7"/>
      <c r="F343" s="5" t="s">
        <v>1169</v>
      </c>
    </row>
    <row r="344" spans="1:10" ht="16.2" thickBot="1">
      <c r="A344" s="6" t="s">
        <v>173</v>
      </c>
      <c r="B344" s="6" t="s">
        <v>752</v>
      </c>
      <c r="C344" s="6" t="s">
        <v>526</v>
      </c>
      <c r="D344" s="6"/>
      <c r="E344" s="7"/>
      <c r="F344" s="5" t="s">
        <v>1169</v>
      </c>
    </row>
    <row r="345" spans="1:10" ht="16.2" thickBot="1">
      <c r="A345" s="6" t="s">
        <v>174</v>
      </c>
      <c r="B345" s="6" t="s">
        <v>752</v>
      </c>
      <c r="C345" s="6" t="s">
        <v>526</v>
      </c>
      <c r="D345" s="6"/>
      <c r="E345" s="7"/>
      <c r="F345" s="5" t="s">
        <v>1169</v>
      </c>
    </row>
    <row r="346" spans="1:10" ht="16.2" thickBot="1">
      <c r="A346" s="6" t="s">
        <v>175</v>
      </c>
      <c r="B346" s="6" t="s">
        <v>752</v>
      </c>
      <c r="C346" s="6" t="s">
        <v>526</v>
      </c>
      <c r="D346" s="6"/>
      <c r="E346" s="7"/>
      <c r="F346" s="5" t="s">
        <v>1169</v>
      </c>
    </row>
    <row r="347" spans="1:10" ht="16.2" thickBot="1">
      <c r="A347" s="6" t="s">
        <v>176</v>
      </c>
      <c r="B347" s="6" t="s">
        <v>753</v>
      </c>
      <c r="C347" s="6" t="s">
        <v>526</v>
      </c>
      <c r="D347" s="6"/>
      <c r="E347" s="7"/>
      <c r="F347" s="5" t="s">
        <v>1170</v>
      </c>
    </row>
    <row r="348" spans="1:10" ht="16.2" thickBot="1">
      <c r="A348" s="6" t="s">
        <v>177</v>
      </c>
      <c r="B348" s="6" t="s">
        <v>753</v>
      </c>
      <c r="C348" s="6" t="s">
        <v>526</v>
      </c>
      <c r="D348" s="6"/>
      <c r="E348" s="7"/>
      <c r="F348" s="5" t="s">
        <v>1170</v>
      </c>
    </row>
    <row r="349" spans="1:10" ht="16.2" thickBot="1">
      <c r="A349" s="6" t="s">
        <v>178</v>
      </c>
      <c r="B349" s="6" t="s">
        <v>753</v>
      </c>
      <c r="C349" s="6" t="s">
        <v>526</v>
      </c>
      <c r="D349" s="6"/>
      <c r="E349" s="7"/>
      <c r="F349" s="5" t="s">
        <v>1170</v>
      </c>
    </row>
    <row r="350" spans="1:10" ht="16.2" thickBot="1">
      <c r="A350" s="6" t="s">
        <v>179</v>
      </c>
      <c r="B350" s="6" t="s">
        <v>753</v>
      </c>
      <c r="C350" s="6" t="s">
        <v>526</v>
      </c>
      <c r="D350" s="6"/>
      <c r="E350" s="7"/>
      <c r="F350" s="5" t="s">
        <v>1171</v>
      </c>
    </row>
    <row r="351" spans="1:10" ht="16.2" thickBot="1">
      <c r="A351" s="6" t="s">
        <v>180</v>
      </c>
      <c r="B351" s="6" t="s">
        <v>753</v>
      </c>
      <c r="C351" s="6" t="s">
        <v>526</v>
      </c>
      <c r="D351" s="6"/>
      <c r="E351" s="7"/>
      <c r="F351" s="5" t="s">
        <v>1171</v>
      </c>
    </row>
    <row r="352" spans="1:10" ht="16.2" thickBot="1">
      <c r="A352" s="31" t="s">
        <v>181</v>
      </c>
      <c r="B352" s="31" t="s">
        <v>753</v>
      </c>
      <c r="C352" s="31" t="s">
        <v>526</v>
      </c>
      <c r="D352" s="31"/>
      <c r="E352" s="32"/>
      <c r="F352" s="5" t="s">
        <v>1172</v>
      </c>
      <c r="J352" t="s">
        <v>404</v>
      </c>
    </row>
    <row r="353" spans="1:10" ht="16.2" thickBot="1">
      <c r="A353" s="31" t="s">
        <v>182</v>
      </c>
      <c r="B353" s="31" t="s">
        <v>753</v>
      </c>
      <c r="C353" s="31" t="s">
        <v>526</v>
      </c>
      <c r="D353" s="31"/>
      <c r="E353" s="32"/>
      <c r="F353" s="5" t="s">
        <v>1172</v>
      </c>
      <c r="J353" t="s">
        <v>404</v>
      </c>
    </row>
    <row r="354" spans="1:10" ht="16.2" thickBot="1">
      <c r="A354" s="6" t="s">
        <v>183</v>
      </c>
      <c r="B354" s="6" t="s">
        <v>753</v>
      </c>
      <c r="C354" s="6" t="s">
        <v>526</v>
      </c>
      <c r="D354" s="6"/>
      <c r="E354" s="7"/>
      <c r="F354" s="5" t="s">
        <v>1173</v>
      </c>
    </row>
    <row r="355" spans="1:10" ht="16.2" thickBot="1">
      <c r="A355" s="6" t="s">
        <v>184</v>
      </c>
      <c r="B355" s="6" t="s">
        <v>753</v>
      </c>
      <c r="C355" s="6" t="s">
        <v>526</v>
      </c>
      <c r="D355" s="6"/>
      <c r="E355" s="7"/>
      <c r="F355" s="5" t="s">
        <v>1173</v>
      </c>
    </row>
    <row r="356" spans="1:10" ht="16.2" thickBot="1">
      <c r="A356" s="6" t="s">
        <v>185</v>
      </c>
      <c r="B356" s="6" t="s">
        <v>753</v>
      </c>
      <c r="C356" s="6" t="s">
        <v>526</v>
      </c>
      <c r="D356" s="6"/>
      <c r="E356" s="7"/>
      <c r="F356" s="5" t="s">
        <v>1174</v>
      </c>
    </row>
    <row r="357" spans="1:10" ht="16.2" thickBot="1">
      <c r="A357" s="6" t="s">
        <v>186</v>
      </c>
      <c r="B357" s="6" t="s">
        <v>753</v>
      </c>
      <c r="C357" s="6" t="s">
        <v>526</v>
      </c>
      <c r="D357" s="6"/>
      <c r="E357" s="7"/>
      <c r="F357" s="5" t="s">
        <v>1174</v>
      </c>
    </row>
    <row r="358" spans="1:10" ht="16.2" thickBot="1">
      <c r="A358" s="6" t="s">
        <v>187</v>
      </c>
      <c r="B358" s="6" t="s">
        <v>753</v>
      </c>
      <c r="C358" s="6" t="s">
        <v>526</v>
      </c>
      <c r="D358" s="6"/>
      <c r="E358" s="7"/>
      <c r="F358" s="5" t="s">
        <v>1169</v>
      </c>
    </row>
    <row r="359" spans="1:10" ht="16.2" thickBot="1">
      <c r="A359" s="6" t="s">
        <v>188</v>
      </c>
      <c r="B359" s="6" t="s">
        <v>753</v>
      </c>
      <c r="C359" s="6" t="s">
        <v>526</v>
      </c>
      <c r="D359" s="6"/>
      <c r="E359" s="7"/>
      <c r="F359" s="5" t="s">
        <v>1169</v>
      </c>
    </row>
    <row r="360" spans="1:10" ht="16.2" thickBot="1">
      <c r="A360" s="6" t="s">
        <v>189</v>
      </c>
      <c r="B360" s="6" t="s">
        <v>753</v>
      </c>
      <c r="C360" s="6" t="s">
        <v>526</v>
      </c>
      <c r="D360" s="6"/>
      <c r="E360" s="7"/>
      <c r="F360" s="5" t="s">
        <v>1175</v>
      </c>
    </row>
    <row r="361" spans="1:10" ht="16.2" thickBot="1">
      <c r="A361" s="6" t="s">
        <v>190</v>
      </c>
      <c r="B361" s="6" t="s">
        <v>753</v>
      </c>
      <c r="C361" s="6" t="s">
        <v>526</v>
      </c>
      <c r="D361" s="6"/>
      <c r="E361" s="7"/>
      <c r="F361" s="5" t="s">
        <v>1175</v>
      </c>
    </row>
    <row r="362" spans="1:10" ht="16.2" thickBot="1">
      <c r="A362" s="6" t="s">
        <v>191</v>
      </c>
      <c r="B362" s="6" t="s">
        <v>754</v>
      </c>
      <c r="C362" s="6" t="s">
        <v>526</v>
      </c>
      <c r="D362" s="6"/>
      <c r="E362" s="7"/>
      <c r="F362" s="5" t="s">
        <v>1170</v>
      </c>
    </row>
    <row r="363" spans="1:10" ht="16.2" thickBot="1">
      <c r="A363" s="6" t="s">
        <v>192</v>
      </c>
      <c r="B363" s="6" t="s">
        <v>754</v>
      </c>
      <c r="C363" s="6" t="s">
        <v>526</v>
      </c>
      <c r="D363" s="6"/>
      <c r="E363" s="7"/>
      <c r="F363" s="5" t="s">
        <v>1170</v>
      </c>
    </row>
    <row r="364" spans="1:10" ht="16.2" thickBot="1">
      <c r="A364" s="6" t="s">
        <v>193</v>
      </c>
      <c r="B364" s="6" t="s">
        <v>754</v>
      </c>
      <c r="C364" s="6" t="s">
        <v>526</v>
      </c>
      <c r="D364" s="6"/>
      <c r="E364" s="7"/>
      <c r="F364" s="5" t="s">
        <v>1171</v>
      </c>
    </row>
    <row r="365" spans="1:10" ht="16.2" thickBot="1">
      <c r="A365" s="6" t="s">
        <v>194</v>
      </c>
      <c r="B365" s="6" t="s">
        <v>754</v>
      </c>
      <c r="C365" s="6" t="s">
        <v>526</v>
      </c>
      <c r="D365" s="6"/>
      <c r="E365" s="7"/>
      <c r="F365" s="5" t="s">
        <v>1170</v>
      </c>
    </row>
    <row r="366" spans="1:10" ht="16.2" thickBot="1">
      <c r="A366" s="6" t="s">
        <v>195</v>
      </c>
      <c r="B366" s="6" t="s">
        <v>754</v>
      </c>
      <c r="C366" s="6" t="s">
        <v>526</v>
      </c>
      <c r="D366" s="6"/>
      <c r="E366" s="7"/>
      <c r="F366" s="5" t="s">
        <v>1175</v>
      </c>
    </row>
    <row r="367" spans="1:10" ht="16.2" thickBot="1">
      <c r="A367" s="6" t="s">
        <v>196</v>
      </c>
      <c r="B367" s="6" t="s">
        <v>754</v>
      </c>
      <c r="C367" s="6" t="s">
        <v>526</v>
      </c>
      <c r="D367" s="6"/>
      <c r="E367" s="7"/>
      <c r="F367" s="5" t="s">
        <v>1176</v>
      </c>
    </row>
    <row r="368" spans="1:10" ht="16.2" thickBot="1">
      <c r="A368" s="6" t="s">
        <v>197</v>
      </c>
      <c r="B368" s="6" t="s">
        <v>754</v>
      </c>
      <c r="C368" s="6" t="s">
        <v>526</v>
      </c>
      <c r="D368" s="6"/>
      <c r="E368" s="7"/>
      <c r="F368" s="5" t="s">
        <v>1176</v>
      </c>
    </row>
    <row r="369" spans="1:10" ht="16.2" thickBot="1">
      <c r="A369" s="6" t="s">
        <v>198</v>
      </c>
      <c r="B369" s="6" t="s">
        <v>755</v>
      </c>
      <c r="C369" s="6" t="s">
        <v>526</v>
      </c>
      <c r="D369" s="6"/>
      <c r="E369" s="7"/>
      <c r="F369" s="5" t="s">
        <v>1177</v>
      </c>
      <c r="J369" t="s">
        <v>851</v>
      </c>
    </row>
    <row r="370" spans="1:10" ht="16.2" thickBot="1">
      <c r="A370" s="6" t="s">
        <v>199</v>
      </c>
      <c r="B370" s="6" t="s">
        <v>755</v>
      </c>
      <c r="C370" s="6" t="s">
        <v>526</v>
      </c>
      <c r="D370" s="6"/>
      <c r="E370" s="7"/>
      <c r="F370" s="5" t="s">
        <v>1177</v>
      </c>
      <c r="J370" t="s">
        <v>851</v>
      </c>
    </row>
    <row r="371" spans="1:10" ht="16.2" thickBot="1">
      <c r="A371" s="6" t="s">
        <v>200</v>
      </c>
      <c r="B371" s="6" t="s">
        <v>756</v>
      </c>
      <c r="C371" s="6" t="s">
        <v>526</v>
      </c>
      <c r="D371" s="6"/>
      <c r="E371" s="7"/>
      <c r="F371" s="5" t="s">
        <v>1176</v>
      </c>
    </row>
    <row r="372" spans="1:10" ht="16.2" thickBot="1">
      <c r="A372" s="6" t="s">
        <v>201</v>
      </c>
      <c r="B372" s="6" t="s">
        <v>756</v>
      </c>
      <c r="C372" s="6" t="s">
        <v>526</v>
      </c>
      <c r="D372" s="6"/>
      <c r="E372" s="7"/>
      <c r="F372" s="5" t="s">
        <v>1176</v>
      </c>
    </row>
    <row r="373" spans="1:10" ht="16.2" thickBot="1">
      <c r="A373" s="6" t="s">
        <v>202</v>
      </c>
      <c r="B373" s="6" t="s">
        <v>756</v>
      </c>
      <c r="C373" s="6" t="s">
        <v>526</v>
      </c>
      <c r="D373" s="6"/>
      <c r="E373" s="7"/>
      <c r="F373" s="5" t="s">
        <v>1176</v>
      </c>
      <c r="J373" t="s">
        <v>851</v>
      </c>
    </row>
    <row r="374" spans="1:10" ht="16.2" thickBot="1">
      <c r="A374" s="6" t="s">
        <v>203</v>
      </c>
      <c r="B374" s="6" t="s">
        <v>757</v>
      </c>
      <c r="C374" s="6" t="s">
        <v>526</v>
      </c>
      <c r="D374" s="6"/>
      <c r="E374" s="7"/>
      <c r="F374" s="5" t="s">
        <v>1176</v>
      </c>
    </row>
    <row r="375" spans="1:10" ht="16.2" thickBot="1">
      <c r="A375" s="6" t="s">
        <v>204</v>
      </c>
      <c r="B375" s="6" t="s">
        <v>757</v>
      </c>
      <c r="C375" s="6" t="s">
        <v>526</v>
      </c>
      <c r="D375" s="6"/>
      <c r="E375" s="7"/>
      <c r="F375" s="5" t="s">
        <v>1176</v>
      </c>
    </row>
    <row r="376" spans="1:10" ht="16.2" thickBot="1">
      <c r="A376" s="6" t="s">
        <v>205</v>
      </c>
      <c r="B376" s="6" t="s">
        <v>757</v>
      </c>
      <c r="C376" s="6" t="s">
        <v>526</v>
      </c>
      <c r="D376" s="6"/>
      <c r="E376" s="7"/>
      <c r="F376" s="5" t="s">
        <v>1176</v>
      </c>
    </row>
    <row r="377" spans="1:10" ht="16.2" thickBot="1">
      <c r="A377" s="6" t="s">
        <v>206</v>
      </c>
      <c r="B377" s="6" t="s">
        <v>757</v>
      </c>
      <c r="C377" s="6" t="s">
        <v>526</v>
      </c>
      <c r="D377" s="6"/>
      <c r="E377" s="7"/>
      <c r="F377" s="5" t="s">
        <v>1176</v>
      </c>
    </row>
    <row r="378" spans="1:10" ht="16.2" thickBot="1">
      <c r="A378" s="25" t="s">
        <v>207</v>
      </c>
      <c r="B378" s="6" t="s">
        <v>758</v>
      </c>
      <c r="C378" s="6" t="s">
        <v>526</v>
      </c>
      <c r="D378" s="6"/>
      <c r="E378" s="7"/>
      <c r="F378" s="5" t="s">
        <v>1178</v>
      </c>
      <c r="J378" t="s">
        <v>404</v>
      </c>
    </row>
    <row r="379" spans="1:10" ht="16.2" thickBot="1">
      <c r="A379" s="6" t="s">
        <v>208</v>
      </c>
      <c r="B379" s="6" t="s">
        <v>758</v>
      </c>
      <c r="C379" s="6" t="s">
        <v>526</v>
      </c>
      <c r="D379" s="6"/>
      <c r="E379" s="7"/>
      <c r="F379" s="5" t="s">
        <v>1178</v>
      </c>
      <c r="J379" t="s">
        <v>404</v>
      </c>
    </row>
    <row r="380" spans="1:10" ht="16.2" thickBot="1">
      <c r="A380" s="6" t="s">
        <v>209</v>
      </c>
      <c r="B380" s="6" t="s">
        <v>758</v>
      </c>
      <c r="C380" s="6" t="s">
        <v>526</v>
      </c>
      <c r="D380" s="6"/>
      <c r="E380" s="7"/>
      <c r="F380" s="5" t="s">
        <v>1179</v>
      </c>
      <c r="J380" t="s">
        <v>404</v>
      </c>
    </row>
    <row r="381" spans="1:10" ht="16.2" thickBot="1">
      <c r="A381" s="6" t="s">
        <v>210</v>
      </c>
      <c r="B381" s="6" t="s">
        <v>758</v>
      </c>
      <c r="C381" s="6" t="s">
        <v>526</v>
      </c>
      <c r="D381" s="6"/>
      <c r="E381" s="7"/>
      <c r="F381" s="5" t="s">
        <v>1180</v>
      </c>
    </row>
    <row r="382" spans="1:10" ht="16.2" thickBot="1">
      <c r="A382" s="6" t="s">
        <v>211</v>
      </c>
      <c r="B382" s="6" t="s">
        <v>758</v>
      </c>
      <c r="C382" s="6" t="s">
        <v>526</v>
      </c>
      <c r="D382" s="6"/>
      <c r="E382" s="7"/>
      <c r="F382" s="5" t="s">
        <v>1181</v>
      </c>
    </row>
    <row r="383" spans="1:10" ht="16.2" thickBot="1">
      <c r="A383" s="6" t="s">
        <v>212</v>
      </c>
      <c r="B383" s="6" t="s">
        <v>758</v>
      </c>
      <c r="C383" s="6" t="s">
        <v>526</v>
      </c>
      <c r="D383" s="6"/>
      <c r="E383" s="7"/>
      <c r="F383" s="5" t="s">
        <v>1175</v>
      </c>
    </row>
    <row r="384" spans="1:10" ht="16.2" thickBot="1">
      <c r="A384" s="6" t="s">
        <v>213</v>
      </c>
      <c r="B384" s="6" t="s">
        <v>758</v>
      </c>
      <c r="C384" s="6" t="s">
        <v>526</v>
      </c>
      <c r="D384" s="6"/>
      <c r="E384" s="7"/>
      <c r="F384" s="5" t="s">
        <v>1182</v>
      </c>
    </row>
    <row r="385" spans="1:10" ht="16.2" thickBot="1">
      <c r="A385" s="6" t="s">
        <v>214</v>
      </c>
      <c r="B385" s="6" t="s">
        <v>758</v>
      </c>
      <c r="C385" s="6" t="s">
        <v>526</v>
      </c>
      <c r="D385" s="6"/>
      <c r="E385" s="7"/>
      <c r="F385" s="5" t="s">
        <v>1182</v>
      </c>
    </row>
    <row r="386" spans="1:10" ht="16.2" thickBot="1">
      <c r="A386" s="6" t="s">
        <v>215</v>
      </c>
      <c r="B386" s="6" t="s">
        <v>758</v>
      </c>
      <c r="C386" s="6" t="s">
        <v>526</v>
      </c>
      <c r="D386" s="6"/>
      <c r="E386" s="7"/>
      <c r="F386" s="5" t="s">
        <v>1169</v>
      </c>
    </row>
    <row r="387" spans="1:10" ht="16.2" thickBot="1">
      <c r="A387" s="6" t="s">
        <v>216</v>
      </c>
      <c r="B387" s="6" t="s">
        <v>758</v>
      </c>
      <c r="C387" s="6" t="s">
        <v>526</v>
      </c>
      <c r="D387" s="6"/>
      <c r="E387" s="7"/>
      <c r="F387" s="5" t="s">
        <v>1182</v>
      </c>
    </row>
    <row r="388" spans="1:10" ht="16.2" thickBot="1">
      <c r="A388" s="6" t="s">
        <v>217</v>
      </c>
      <c r="B388" s="6" t="s">
        <v>758</v>
      </c>
      <c r="C388" s="6" t="s">
        <v>526</v>
      </c>
      <c r="D388" s="6"/>
      <c r="E388" s="7"/>
      <c r="F388" s="5" t="s">
        <v>1182</v>
      </c>
    </row>
    <row r="389" spans="1:10" ht="16.2" thickBot="1">
      <c r="A389" s="6" t="s">
        <v>218</v>
      </c>
      <c r="B389" s="6" t="s">
        <v>758</v>
      </c>
      <c r="C389" s="6" t="s">
        <v>526</v>
      </c>
      <c r="D389" s="6"/>
      <c r="E389" s="7"/>
      <c r="F389" s="5" t="s">
        <v>1182</v>
      </c>
    </row>
    <row r="390" spans="1:10" ht="16.2" thickBot="1">
      <c r="A390" s="6" t="s">
        <v>219</v>
      </c>
      <c r="B390" s="6" t="s">
        <v>758</v>
      </c>
      <c r="C390" s="6" t="s">
        <v>526</v>
      </c>
      <c r="D390" s="6"/>
      <c r="E390" s="7"/>
      <c r="F390" s="5" t="s">
        <v>1182</v>
      </c>
    </row>
    <row r="391" spans="1:10" ht="16.2" thickBot="1">
      <c r="A391" s="6" t="s">
        <v>220</v>
      </c>
      <c r="B391" s="6" t="s">
        <v>758</v>
      </c>
      <c r="C391" s="6" t="s">
        <v>526</v>
      </c>
      <c r="D391" s="6"/>
      <c r="E391" s="7"/>
      <c r="F391" s="5" t="s">
        <v>1183</v>
      </c>
      <c r="J391" t="s">
        <v>404</v>
      </c>
    </row>
    <row r="392" spans="1:10" ht="16.2" thickBot="1">
      <c r="A392" s="6" t="s">
        <v>221</v>
      </c>
      <c r="B392" s="6" t="s">
        <v>758</v>
      </c>
      <c r="C392" s="6" t="s">
        <v>526</v>
      </c>
      <c r="D392" s="6"/>
      <c r="E392" s="7"/>
      <c r="F392" s="5" t="s">
        <v>1184</v>
      </c>
      <c r="J392" t="s">
        <v>404</v>
      </c>
    </row>
    <row r="393" spans="1:10" ht="16.2" thickBot="1">
      <c r="A393" s="6" t="s">
        <v>222</v>
      </c>
      <c r="B393" s="6" t="s">
        <v>758</v>
      </c>
      <c r="C393" s="6" t="s">
        <v>526</v>
      </c>
      <c r="D393" s="6"/>
      <c r="E393" s="7"/>
      <c r="F393" s="5" t="s">
        <v>1184</v>
      </c>
      <c r="J393" t="s">
        <v>404</v>
      </c>
    </row>
    <row r="394" spans="1:10" ht="16.2" thickBot="1">
      <c r="A394" s="6" t="s">
        <v>223</v>
      </c>
      <c r="B394" s="6" t="s">
        <v>759</v>
      </c>
      <c r="C394" s="6" t="s">
        <v>526</v>
      </c>
      <c r="D394" s="6"/>
      <c r="E394" s="7"/>
      <c r="F394" s="5" t="s">
        <v>1185</v>
      </c>
    </row>
    <row r="395" spans="1:10" ht="16.2" thickBot="1">
      <c r="A395" s="6" t="s">
        <v>224</v>
      </c>
      <c r="B395" s="6" t="s">
        <v>759</v>
      </c>
      <c r="C395" s="6" t="s">
        <v>526</v>
      </c>
      <c r="D395" s="6"/>
      <c r="E395" s="7"/>
      <c r="F395" s="5" t="s">
        <v>1185</v>
      </c>
    </row>
    <row r="396" spans="1:10" ht="16.2" thickBot="1">
      <c r="A396" s="6" t="s">
        <v>225</v>
      </c>
      <c r="B396" s="6" t="s">
        <v>759</v>
      </c>
      <c r="C396" s="6" t="s">
        <v>526</v>
      </c>
      <c r="D396" s="6"/>
      <c r="E396" s="7"/>
      <c r="F396" s="5" t="s">
        <v>1185</v>
      </c>
    </row>
    <row r="397" spans="1:10" ht="16.2" thickBot="1">
      <c r="A397" s="21" t="s">
        <v>226</v>
      </c>
      <c r="B397" s="21" t="s">
        <v>759</v>
      </c>
      <c r="C397" s="21" t="s">
        <v>526</v>
      </c>
      <c r="D397" s="21"/>
      <c r="E397" s="30"/>
      <c r="F397" s="5" t="s">
        <v>1185</v>
      </c>
      <c r="G397" s="20"/>
      <c r="H397" s="20"/>
      <c r="I397" s="20"/>
      <c r="J397" s="20" t="s">
        <v>849</v>
      </c>
    </row>
    <row r="398" spans="1:10" ht="16.2" thickBot="1">
      <c r="A398" s="6" t="s">
        <v>227</v>
      </c>
      <c r="B398" s="6" t="s">
        <v>759</v>
      </c>
      <c r="C398" s="6" t="s">
        <v>526</v>
      </c>
      <c r="D398" s="6"/>
      <c r="E398" s="7"/>
      <c r="F398" s="5" t="s">
        <v>1185</v>
      </c>
    </row>
    <row r="399" spans="1:10" ht="16.2" thickBot="1">
      <c r="A399" s="6" t="s">
        <v>228</v>
      </c>
      <c r="B399" s="6" t="s">
        <v>759</v>
      </c>
      <c r="C399" s="6" t="s">
        <v>526</v>
      </c>
      <c r="D399" s="6"/>
      <c r="E399" s="7"/>
      <c r="F399" s="5" t="s">
        <v>1185</v>
      </c>
    </row>
    <row r="400" spans="1:10" ht="16.2" thickBot="1">
      <c r="A400" s="6" t="s">
        <v>229</v>
      </c>
      <c r="B400" s="6" t="s">
        <v>759</v>
      </c>
      <c r="C400" s="6" t="s">
        <v>526</v>
      </c>
      <c r="D400" s="6"/>
      <c r="E400" s="7"/>
      <c r="F400" s="5" t="s">
        <v>1185</v>
      </c>
    </row>
    <row r="401" spans="1:6" ht="16.2" thickBot="1">
      <c r="A401" s="6" t="s">
        <v>230</v>
      </c>
      <c r="B401" s="6" t="s">
        <v>759</v>
      </c>
      <c r="C401" s="6" t="s">
        <v>526</v>
      </c>
      <c r="D401" s="6"/>
      <c r="E401" s="7"/>
      <c r="F401" s="5" t="s">
        <v>1185</v>
      </c>
    </row>
    <row r="402" spans="1:6" ht="16.2" thickBot="1">
      <c r="A402" s="6" t="s">
        <v>231</v>
      </c>
      <c r="B402" s="6" t="s">
        <v>759</v>
      </c>
      <c r="C402" s="6" t="s">
        <v>526</v>
      </c>
      <c r="D402" s="6"/>
      <c r="E402" s="7"/>
      <c r="F402" s="5" t="s">
        <v>1185</v>
      </c>
    </row>
    <row r="403" spans="1:6" ht="15" thickBot="1">
      <c r="A403" s="5"/>
      <c r="B403" s="5"/>
      <c r="C403" s="5"/>
      <c r="D403" s="5"/>
      <c r="E403" s="5"/>
      <c r="F403" s="5"/>
    </row>
    <row r="404" spans="1:6" ht="15" thickBot="1">
      <c r="A404" s="5"/>
      <c r="B404" s="5"/>
      <c r="C404" s="5"/>
      <c r="D404" s="5"/>
      <c r="E404" s="5"/>
      <c r="F404" s="5"/>
    </row>
  </sheetData>
  <autoFilter ref="A1:I404" xr:uid="{23FEA767-FEF3-4D23-9143-13AEAC680DA5}"/>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E658-0406-4337-92E7-EF22271613D0}">
  <dimension ref="A1:I526"/>
  <sheetViews>
    <sheetView topLeftCell="A237" workbookViewId="0">
      <selection activeCell="A285" sqref="A285:G285"/>
    </sheetView>
  </sheetViews>
  <sheetFormatPr baseColWidth="10" defaultRowHeight="14.4"/>
  <cols>
    <col min="1" max="9" width="11.44140625" style="23"/>
  </cols>
  <sheetData>
    <row r="1" spans="1:7">
      <c r="A1" s="22" t="s">
        <v>852</v>
      </c>
    </row>
    <row r="2" spans="1:7">
      <c r="A2" s="22" t="s">
        <v>853</v>
      </c>
    </row>
    <row r="3" spans="1:7">
      <c r="A3" s="22" t="s">
        <v>854</v>
      </c>
    </row>
    <row r="4" spans="1:7">
      <c r="A4" s="22" t="s">
        <v>855</v>
      </c>
    </row>
    <row r="5" spans="1:7">
      <c r="A5" s="22" t="s">
        <v>856</v>
      </c>
    </row>
    <row r="6" spans="1:7">
      <c r="A6" s="22" t="s">
        <v>857</v>
      </c>
    </row>
    <row r="7" spans="1:7">
      <c r="A7" s="22" t="s">
        <v>858</v>
      </c>
    </row>
    <row r="8" spans="1:7">
      <c r="A8" s="22" t="s">
        <v>859</v>
      </c>
    </row>
    <row r="9" spans="1:7">
      <c r="A9" s="22" t="s">
        <v>860</v>
      </c>
    </row>
    <row r="10" spans="1:7">
      <c r="A10" s="22" t="s">
        <v>861</v>
      </c>
    </row>
    <row r="11" spans="1:7">
      <c r="A11" s="22" t="s">
        <v>855</v>
      </c>
    </row>
    <row r="12" spans="1:7">
      <c r="A12" s="22" t="s">
        <v>862</v>
      </c>
    </row>
    <row r="13" spans="1:7">
      <c r="A13" s="28" t="s">
        <v>863</v>
      </c>
      <c r="B13" s="29"/>
      <c r="C13" s="29"/>
      <c r="D13" s="29"/>
      <c r="E13" s="29"/>
      <c r="F13" s="29"/>
      <c r="G13" s="29"/>
    </row>
    <row r="14" spans="1:7">
      <c r="A14" s="28" t="s">
        <v>864</v>
      </c>
      <c r="B14" s="29"/>
      <c r="C14" s="29"/>
      <c r="D14" s="29"/>
      <c r="E14" s="29"/>
      <c r="F14" s="29"/>
      <c r="G14" s="29"/>
    </row>
    <row r="15" spans="1:7">
      <c r="A15" s="28" t="s">
        <v>865</v>
      </c>
      <c r="B15" s="29"/>
      <c r="C15" s="29"/>
      <c r="D15" s="29"/>
      <c r="E15" s="29"/>
      <c r="F15" s="29"/>
      <c r="G15" s="29"/>
    </row>
    <row r="16" spans="1:7">
      <c r="A16" s="28" t="s">
        <v>866</v>
      </c>
      <c r="B16" s="29"/>
      <c r="C16" s="29"/>
      <c r="D16" s="29"/>
      <c r="E16" s="29"/>
      <c r="F16" s="29"/>
      <c r="G16" s="29"/>
    </row>
    <row r="17" spans="1:7">
      <c r="A17" s="28" t="s">
        <v>867</v>
      </c>
      <c r="B17" s="29"/>
      <c r="C17" s="29"/>
      <c r="D17" s="29"/>
      <c r="E17" s="29"/>
      <c r="F17" s="29"/>
      <c r="G17" s="29"/>
    </row>
    <row r="18" spans="1:7">
      <c r="A18" s="28" t="s">
        <v>868</v>
      </c>
      <c r="B18" s="29"/>
      <c r="C18" s="29"/>
      <c r="D18" s="29"/>
      <c r="E18" s="29"/>
      <c r="F18" s="29"/>
      <c r="G18" s="29"/>
    </row>
    <row r="19" spans="1:7">
      <c r="A19" s="28" t="s">
        <v>869</v>
      </c>
      <c r="B19" s="29"/>
      <c r="C19" s="29"/>
      <c r="D19" s="29"/>
      <c r="E19" s="29"/>
      <c r="F19" s="29"/>
      <c r="G19" s="29"/>
    </row>
    <row r="20" spans="1:7">
      <c r="A20" s="28" t="s">
        <v>870</v>
      </c>
      <c r="B20" s="29"/>
      <c r="C20" s="29"/>
      <c r="D20" s="29"/>
      <c r="E20" s="29"/>
      <c r="F20" s="29"/>
      <c r="G20" s="29"/>
    </row>
    <row r="21" spans="1:7">
      <c r="A21" s="28" t="s">
        <v>871</v>
      </c>
      <c r="B21" s="29"/>
      <c r="C21" s="29"/>
      <c r="D21" s="29"/>
      <c r="E21" s="29"/>
      <c r="F21" s="29"/>
      <c r="G21" s="29"/>
    </row>
    <row r="22" spans="1:7">
      <c r="A22" s="28" t="s">
        <v>872</v>
      </c>
      <c r="B22" s="29"/>
      <c r="C22" s="29"/>
      <c r="D22" s="29"/>
      <c r="E22" s="29"/>
      <c r="F22" s="29"/>
      <c r="G22" s="29"/>
    </row>
    <row r="23" spans="1:7">
      <c r="A23" s="28" t="s">
        <v>873</v>
      </c>
      <c r="B23" s="29"/>
      <c r="C23" s="29"/>
      <c r="D23" s="29"/>
      <c r="E23" s="29"/>
      <c r="F23" s="29"/>
      <c r="G23" s="29"/>
    </row>
    <row r="24" spans="1:7">
      <c r="A24" s="28" t="s">
        <v>874</v>
      </c>
      <c r="B24" s="29"/>
      <c r="C24" s="29"/>
      <c r="D24" s="29"/>
      <c r="E24" s="29"/>
      <c r="F24" s="29"/>
      <c r="G24" s="29"/>
    </row>
    <row r="25" spans="1:7">
      <c r="A25" s="22" t="s">
        <v>875</v>
      </c>
    </row>
    <row r="26" spans="1:7">
      <c r="A26" s="22" t="s">
        <v>876</v>
      </c>
    </row>
    <row r="27" spans="1:7">
      <c r="A27" s="22" t="s">
        <v>877</v>
      </c>
    </row>
    <row r="28" spans="1:7">
      <c r="A28" s="22" t="s">
        <v>855</v>
      </c>
    </row>
    <row r="29" spans="1:7">
      <c r="A29" s="22" t="s">
        <v>878</v>
      </c>
    </row>
    <row r="30" spans="1:7">
      <c r="A30" s="22" t="s">
        <v>879</v>
      </c>
    </row>
    <row r="31" spans="1:7">
      <c r="A31" s="22" t="s">
        <v>880</v>
      </c>
    </row>
    <row r="32" spans="1:7">
      <c r="A32" s="22" t="s">
        <v>855</v>
      </c>
    </row>
    <row r="33" spans="1:1">
      <c r="A33" s="22" t="s">
        <v>881</v>
      </c>
    </row>
    <row r="34" spans="1:1">
      <c r="A34" s="22" t="s">
        <v>882</v>
      </c>
    </row>
    <row r="35" spans="1:1">
      <c r="A35" s="24"/>
    </row>
    <row r="36" spans="1:1">
      <c r="A36" s="22" t="s">
        <v>883</v>
      </c>
    </row>
    <row r="37" spans="1:1">
      <c r="A37" s="24"/>
    </row>
    <row r="38" spans="1:1">
      <c r="A38" s="22" t="s">
        <v>882</v>
      </c>
    </row>
    <row r="39" spans="1:1">
      <c r="A39" s="22" t="s">
        <v>884</v>
      </c>
    </row>
    <row r="40" spans="1:1">
      <c r="A40" s="22" t="s">
        <v>885</v>
      </c>
    </row>
    <row r="41" spans="1:1">
      <c r="A41" s="22" t="s">
        <v>886</v>
      </c>
    </row>
    <row r="42" spans="1:1">
      <c r="A42" s="22" t="s">
        <v>854</v>
      </c>
    </row>
    <row r="43" spans="1:1">
      <c r="A43" s="22" t="s">
        <v>855</v>
      </c>
    </row>
    <row r="44" spans="1:1">
      <c r="A44" s="22" t="s">
        <v>856</v>
      </c>
    </row>
    <row r="45" spans="1:1">
      <c r="A45" s="22" t="s">
        <v>887</v>
      </c>
    </row>
    <row r="46" spans="1:1">
      <c r="A46" s="22" t="s">
        <v>888</v>
      </c>
    </row>
    <row r="47" spans="1:1">
      <c r="A47" s="22" t="s">
        <v>889</v>
      </c>
    </row>
    <row r="48" spans="1:1">
      <c r="A48" s="22" t="s">
        <v>890</v>
      </c>
    </row>
    <row r="49" spans="1:1">
      <c r="A49" s="22" t="s">
        <v>891</v>
      </c>
    </row>
    <row r="50" spans="1:1">
      <c r="A50" s="22" t="s">
        <v>892</v>
      </c>
    </row>
    <row r="51" spans="1:1">
      <c r="A51" s="22" t="s">
        <v>855</v>
      </c>
    </row>
    <row r="52" spans="1:1">
      <c r="A52" s="22" t="s">
        <v>862</v>
      </c>
    </row>
    <row r="53" spans="1:1">
      <c r="A53" s="22" t="s">
        <v>893</v>
      </c>
    </row>
    <row r="54" spans="1:1">
      <c r="A54" s="22" t="s">
        <v>894</v>
      </c>
    </row>
    <row r="55" spans="1:1">
      <c r="A55" s="22" t="s">
        <v>895</v>
      </c>
    </row>
    <row r="56" spans="1:1">
      <c r="A56" s="22" t="s">
        <v>896</v>
      </c>
    </row>
    <row r="57" spans="1:1">
      <c r="A57" s="22" t="s">
        <v>897</v>
      </c>
    </row>
    <row r="58" spans="1:1">
      <c r="A58" s="22" t="s">
        <v>898</v>
      </c>
    </row>
    <row r="59" spans="1:1">
      <c r="A59" s="22" t="s">
        <v>899</v>
      </c>
    </row>
    <row r="60" spans="1:1">
      <c r="A60" s="22" t="s">
        <v>900</v>
      </c>
    </row>
    <row r="61" spans="1:1">
      <c r="A61" s="22" t="s">
        <v>901</v>
      </c>
    </row>
    <row r="62" spans="1:1">
      <c r="A62" s="22" t="s">
        <v>902</v>
      </c>
    </row>
    <row r="63" spans="1:1">
      <c r="A63" s="22" t="s">
        <v>903</v>
      </c>
    </row>
    <row r="64" spans="1:1">
      <c r="A64" s="22" t="s">
        <v>904</v>
      </c>
    </row>
    <row r="65" spans="1:1">
      <c r="A65" s="22" t="s">
        <v>905</v>
      </c>
    </row>
    <row r="66" spans="1:1">
      <c r="A66" s="22" t="s">
        <v>876</v>
      </c>
    </row>
    <row r="67" spans="1:1">
      <c r="A67" s="22" t="s">
        <v>906</v>
      </c>
    </row>
    <row r="68" spans="1:1">
      <c r="A68" s="22" t="s">
        <v>855</v>
      </c>
    </row>
    <row r="69" spans="1:1">
      <c r="A69" s="22" t="s">
        <v>907</v>
      </c>
    </row>
    <row r="70" spans="1:1">
      <c r="A70" s="22" t="s">
        <v>908</v>
      </c>
    </row>
    <row r="71" spans="1:1">
      <c r="A71" s="22" t="s">
        <v>909</v>
      </c>
    </row>
    <row r="72" spans="1:1">
      <c r="A72" s="22" t="s">
        <v>855</v>
      </c>
    </row>
    <row r="73" spans="1:1">
      <c r="A73" s="22" t="s">
        <v>881</v>
      </c>
    </row>
    <row r="74" spans="1:1">
      <c r="A74" s="22" t="s">
        <v>882</v>
      </c>
    </row>
    <row r="75" spans="1:1">
      <c r="A75" s="24"/>
    </row>
    <row r="76" spans="1:1">
      <c r="A76" s="22" t="s">
        <v>910</v>
      </c>
    </row>
    <row r="77" spans="1:1">
      <c r="A77" s="24"/>
    </row>
    <row r="78" spans="1:1">
      <c r="A78" s="22" t="s">
        <v>882</v>
      </c>
    </row>
    <row r="79" spans="1:1">
      <c r="A79" s="22" t="s">
        <v>884</v>
      </c>
    </row>
    <row r="80" spans="1:1">
      <c r="A80" s="22" t="s">
        <v>911</v>
      </c>
    </row>
    <row r="81" spans="1:8">
      <c r="A81" s="22" t="s">
        <v>912</v>
      </c>
    </row>
    <row r="82" spans="1:8">
      <c r="A82" s="22" t="s">
        <v>854</v>
      </c>
    </row>
    <row r="83" spans="1:8">
      <c r="A83" s="22" t="s">
        <v>855</v>
      </c>
    </row>
    <row r="84" spans="1:8">
      <c r="A84" s="22" t="s">
        <v>856</v>
      </c>
    </row>
    <row r="85" spans="1:8">
      <c r="A85" s="22" t="s">
        <v>913</v>
      </c>
    </row>
    <row r="86" spans="1:8">
      <c r="A86" s="22" t="s">
        <v>914</v>
      </c>
    </row>
    <row r="87" spans="1:8">
      <c r="A87" s="22" t="s">
        <v>915</v>
      </c>
    </row>
    <row r="88" spans="1:8">
      <c r="A88" s="22" t="s">
        <v>916</v>
      </c>
    </row>
    <row r="89" spans="1:8">
      <c r="A89" s="22" t="s">
        <v>917</v>
      </c>
    </row>
    <row r="90" spans="1:8">
      <c r="A90" s="22" t="s">
        <v>918</v>
      </c>
    </row>
    <row r="91" spans="1:8">
      <c r="A91" s="22" t="s">
        <v>855</v>
      </c>
    </row>
    <row r="92" spans="1:8">
      <c r="A92" s="22" t="s">
        <v>862</v>
      </c>
    </row>
    <row r="93" spans="1:8">
      <c r="A93" s="26" t="s">
        <v>919</v>
      </c>
      <c r="B93" s="34"/>
      <c r="C93" s="34"/>
      <c r="D93" s="34"/>
      <c r="E93" s="34"/>
      <c r="F93" s="34"/>
      <c r="G93" s="34"/>
      <c r="H93" s="34"/>
    </row>
    <row r="94" spans="1:8">
      <c r="A94" s="26" t="s">
        <v>920</v>
      </c>
      <c r="B94" s="34"/>
      <c r="C94" s="34"/>
      <c r="D94" s="34"/>
      <c r="E94" s="34"/>
      <c r="F94" s="34"/>
      <c r="G94" s="34"/>
      <c r="H94" s="34"/>
    </row>
    <row r="95" spans="1:8">
      <c r="A95" s="26" t="s">
        <v>921</v>
      </c>
      <c r="B95" s="34"/>
      <c r="C95" s="34"/>
      <c r="D95" s="34"/>
      <c r="E95" s="34"/>
      <c r="F95" s="34"/>
      <c r="G95" s="34"/>
      <c r="H95" s="34"/>
    </row>
    <row r="96" spans="1:8">
      <c r="A96" s="26" t="s">
        <v>922</v>
      </c>
      <c r="B96" s="34"/>
      <c r="C96" s="34"/>
      <c r="D96" s="34"/>
      <c r="E96" s="34"/>
      <c r="F96" s="34"/>
      <c r="G96" s="34"/>
      <c r="H96" s="34"/>
    </row>
    <row r="97" spans="1:8">
      <c r="A97" s="26" t="s">
        <v>923</v>
      </c>
      <c r="B97" s="34"/>
      <c r="C97" s="34"/>
      <c r="D97" s="34"/>
      <c r="E97" s="34"/>
      <c r="F97" s="34"/>
      <c r="G97" s="34"/>
      <c r="H97" s="34"/>
    </row>
    <row r="98" spans="1:8">
      <c r="A98" s="26" t="s">
        <v>924</v>
      </c>
      <c r="B98" s="34"/>
      <c r="C98" s="34"/>
      <c r="D98" s="34"/>
      <c r="E98" s="34"/>
      <c r="F98" s="34"/>
      <c r="G98" s="34"/>
      <c r="H98" s="34"/>
    </row>
    <row r="99" spans="1:8">
      <c r="A99" s="26" t="s">
        <v>925</v>
      </c>
      <c r="B99" s="34"/>
      <c r="C99" s="34"/>
      <c r="D99" s="34"/>
      <c r="E99" s="34"/>
      <c r="F99" s="34"/>
      <c r="G99" s="34"/>
      <c r="H99" s="34"/>
    </row>
    <row r="100" spans="1:8">
      <c r="A100" s="26" t="s">
        <v>926</v>
      </c>
      <c r="B100" s="34"/>
      <c r="C100" s="34"/>
      <c r="D100" s="34"/>
      <c r="E100" s="34"/>
      <c r="F100" s="34"/>
      <c r="G100" s="34"/>
      <c r="H100" s="34"/>
    </row>
    <row r="101" spans="1:8">
      <c r="A101" s="22" t="s">
        <v>927</v>
      </c>
    </row>
    <row r="102" spans="1:8">
      <c r="A102" s="22" t="s">
        <v>876</v>
      </c>
    </row>
    <row r="103" spans="1:8">
      <c r="A103" s="22" t="s">
        <v>928</v>
      </c>
    </row>
    <row r="104" spans="1:8">
      <c r="A104" s="22" t="s">
        <v>855</v>
      </c>
    </row>
    <row r="105" spans="1:8">
      <c r="A105" s="22" t="s">
        <v>929</v>
      </c>
    </row>
    <row r="106" spans="1:8">
      <c r="A106" s="22" t="s">
        <v>930</v>
      </c>
    </row>
    <row r="107" spans="1:8">
      <c r="A107" s="22" t="s">
        <v>931</v>
      </c>
    </row>
    <row r="108" spans="1:8">
      <c r="A108" s="22" t="s">
        <v>855</v>
      </c>
    </row>
    <row r="109" spans="1:8">
      <c r="A109" s="22" t="s">
        <v>881</v>
      </c>
    </row>
    <row r="110" spans="1:8">
      <c r="A110" s="22" t="s">
        <v>882</v>
      </c>
    </row>
    <row r="111" spans="1:8">
      <c r="A111" s="24"/>
    </row>
    <row r="112" spans="1:8">
      <c r="A112" s="22" t="s">
        <v>932</v>
      </c>
    </row>
    <row r="113" spans="1:1">
      <c r="A113" s="24"/>
    </row>
    <row r="114" spans="1:1">
      <c r="A114" s="22" t="s">
        <v>882</v>
      </c>
    </row>
    <row r="115" spans="1:1">
      <c r="A115" s="22" t="s">
        <v>884</v>
      </c>
    </row>
    <row r="116" spans="1:1">
      <c r="A116" s="22" t="s">
        <v>933</v>
      </c>
    </row>
    <row r="117" spans="1:1">
      <c r="A117" s="22" t="s">
        <v>912</v>
      </c>
    </row>
    <row r="118" spans="1:1">
      <c r="A118" s="22" t="s">
        <v>854</v>
      </c>
    </row>
    <row r="119" spans="1:1">
      <c r="A119" s="22" t="s">
        <v>855</v>
      </c>
    </row>
    <row r="120" spans="1:1">
      <c r="A120" s="22" t="s">
        <v>856</v>
      </c>
    </row>
    <row r="121" spans="1:1">
      <c r="A121" s="22" t="s">
        <v>934</v>
      </c>
    </row>
    <row r="122" spans="1:1">
      <c r="A122" s="22" t="s">
        <v>935</v>
      </c>
    </row>
    <row r="123" spans="1:1">
      <c r="A123" s="22" t="s">
        <v>936</v>
      </c>
    </row>
    <row r="124" spans="1:1">
      <c r="A124" s="22" t="s">
        <v>937</v>
      </c>
    </row>
    <row r="125" spans="1:1">
      <c r="A125" s="22" t="s">
        <v>855</v>
      </c>
    </row>
    <row r="126" spans="1:1">
      <c r="A126" s="22" t="s">
        <v>862</v>
      </c>
    </row>
    <row r="127" spans="1:1">
      <c r="A127" s="22" t="s">
        <v>938</v>
      </c>
    </row>
    <row r="128" spans="1:1">
      <c r="A128" s="22" t="s">
        <v>939</v>
      </c>
    </row>
    <row r="129" spans="1:1">
      <c r="A129" s="22" t="s">
        <v>940</v>
      </c>
    </row>
    <row r="130" spans="1:1">
      <c r="A130" s="22" t="s">
        <v>941</v>
      </c>
    </row>
    <row r="131" spans="1:1">
      <c r="A131" s="22" t="s">
        <v>942</v>
      </c>
    </row>
    <row r="132" spans="1:1">
      <c r="A132" s="22" t="s">
        <v>943</v>
      </c>
    </row>
    <row r="133" spans="1:1">
      <c r="A133" s="22" t="s">
        <v>944</v>
      </c>
    </row>
    <row r="134" spans="1:1">
      <c r="A134" s="22" t="s">
        <v>945</v>
      </c>
    </row>
    <row r="135" spans="1:1">
      <c r="A135" s="22" t="s">
        <v>946</v>
      </c>
    </row>
    <row r="136" spans="1:1">
      <c r="A136" s="22" t="s">
        <v>947</v>
      </c>
    </row>
    <row r="137" spans="1:1">
      <c r="A137" s="22" t="s">
        <v>876</v>
      </c>
    </row>
    <row r="138" spans="1:1">
      <c r="A138" s="22" t="s">
        <v>948</v>
      </c>
    </row>
    <row r="139" spans="1:1">
      <c r="A139" s="22" t="s">
        <v>855</v>
      </c>
    </row>
    <row r="140" spans="1:1">
      <c r="A140" s="22" t="s">
        <v>949</v>
      </c>
    </row>
    <row r="141" spans="1:1">
      <c r="A141" s="22" t="s">
        <v>950</v>
      </c>
    </row>
    <row r="142" spans="1:1">
      <c r="A142" s="22" t="s">
        <v>951</v>
      </c>
    </row>
    <row r="143" spans="1:1">
      <c r="A143" s="22" t="s">
        <v>855</v>
      </c>
    </row>
    <row r="144" spans="1:1">
      <c r="A144" s="22" t="s">
        <v>881</v>
      </c>
    </row>
    <row r="145" spans="1:1">
      <c r="A145" s="22" t="s">
        <v>882</v>
      </c>
    </row>
    <row r="146" spans="1:1">
      <c r="A146" s="24"/>
    </row>
    <row r="147" spans="1:1">
      <c r="A147" s="22" t="s">
        <v>952</v>
      </c>
    </row>
    <row r="148" spans="1:1">
      <c r="A148" s="24"/>
    </row>
    <row r="149" spans="1:1">
      <c r="A149" s="22" t="s">
        <v>882</v>
      </c>
    </row>
    <row r="150" spans="1:1">
      <c r="A150" s="22" t="s">
        <v>884</v>
      </c>
    </row>
    <row r="151" spans="1:1">
      <c r="A151" s="22" t="s">
        <v>953</v>
      </c>
    </row>
    <row r="152" spans="1:1">
      <c r="A152" s="22" t="s">
        <v>954</v>
      </c>
    </row>
    <row r="153" spans="1:1">
      <c r="A153" s="22" t="s">
        <v>854</v>
      </c>
    </row>
    <row r="154" spans="1:1">
      <c r="A154" s="22" t="s">
        <v>855</v>
      </c>
    </row>
    <row r="155" spans="1:1">
      <c r="A155" s="22" t="s">
        <v>856</v>
      </c>
    </row>
    <row r="156" spans="1:1">
      <c r="A156" s="22" t="s">
        <v>955</v>
      </c>
    </row>
    <row r="157" spans="1:1">
      <c r="A157" s="22" t="s">
        <v>956</v>
      </c>
    </row>
    <row r="158" spans="1:1">
      <c r="A158" s="22" t="s">
        <v>957</v>
      </c>
    </row>
    <row r="159" spans="1:1">
      <c r="A159" s="22" t="s">
        <v>958</v>
      </c>
    </row>
    <row r="160" spans="1:1">
      <c r="A160" s="22" t="s">
        <v>959</v>
      </c>
    </row>
    <row r="161" spans="1:1">
      <c r="A161" s="22" t="s">
        <v>960</v>
      </c>
    </row>
    <row r="162" spans="1:1">
      <c r="A162" s="22" t="s">
        <v>855</v>
      </c>
    </row>
    <row r="163" spans="1:1">
      <c r="A163" s="22" t="s">
        <v>862</v>
      </c>
    </row>
    <row r="164" spans="1:1">
      <c r="A164" s="22" t="s">
        <v>961</v>
      </c>
    </row>
    <row r="165" spans="1:1">
      <c r="A165" s="22" t="s">
        <v>962</v>
      </c>
    </row>
    <row r="166" spans="1:1">
      <c r="A166" s="22" t="s">
        <v>963</v>
      </c>
    </row>
    <row r="167" spans="1:1">
      <c r="A167" s="22" t="s">
        <v>964</v>
      </c>
    </row>
    <row r="168" spans="1:1">
      <c r="A168" s="22" t="s">
        <v>965</v>
      </c>
    </row>
    <row r="169" spans="1:1">
      <c r="A169" s="22" t="s">
        <v>966</v>
      </c>
    </row>
    <row r="170" spans="1:1">
      <c r="A170" s="22" t="s">
        <v>967</v>
      </c>
    </row>
    <row r="171" spans="1:1">
      <c r="A171" s="22" t="s">
        <v>968</v>
      </c>
    </row>
    <row r="172" spans="1:1">
      <c r="A172" s="22" t="s">
        <v>876</v>
      </c>
    </row>
    <row r="173" spans="1:1">
      <c r="A173" s="22" t="s">
        <v>969</v>
      </c>
    </row>
    <row r="174" spans="1:1">
      <c r="A174" s="22" t="s">
        <v>855</v>
      </c>
    </row>
    <row r="175" spans="1:1">
      <c r="A175" s="22" t="s">
        <v>970</v>
      </c>
    </row>
    <row r="176" spans="1:1">
      <c r="A176" s="22" t="s">
        <v>971</v>
      </c>
    </row>
    <row r="177" spans="1:1">
      <c r="A177" s="22" t="s">
        <v>972</v>
      </c>
    </row>
    <row r="178" spans="1:1">
      <c r="A178" s="22" t="s">
        <v>855</v>
      </c>
    </row>
    <row r="179" spans="1:1">
      <c r="A179" s="22" t="s">
        <v>881</v>
      </c>
    </row>
    <row r="180" spans="1:1">
      <c r="A180" s="22" t="s">
        <v>882</v>
      </c>
    </row>
    <row r="181" spans="1:1">
      <c r="A181" s="24"/>
    </row>
    <row r="182" spans="1:1">
      <c r="A182" s="22" t="s">
        <v>973</v>
      </c>
    </row>
    <row r="183" spans="1:1">
      <c r="A183" s="24"/>
    </row>
    <row r="184" spans="1:1">
      <c r="A184" s="22" t="s">
        <v>882</v>
      </c>
    </row>
    <row r="185" spans="1:1">
      <c r="A185" s="22" t="s">
        <v>884</v>
      </c>
    </row>
    <row r="186" spans="1:1">
      <c r="A186" s="22" t="s">
        <v>974</v>
      </c>
    </row>
    <row r="187" spans="1:1">
      <c r="A187" s="22" t="s">
        <v>975</v>
      </c>
    </row>
    <row r="188" spans="1:1">
      <c r="A188" s="22" t="s">
        <v>854</v>
      </c>
    </row>
    <row r="189" spans="1:1">
      <c r="A189" s="22" t="s">
        <v>855</v>
      </c>
    </row>
    <row r="190" spans="1:1">
      <c r="A190" s="22" t="s">
        <v>856</v>
      </c>
    </row>
    <row r="191" spans="1:1">
      <c r="A191" s="22" t="s">
        <v>976</v>
      </c>
    </row>
    <row r="192" spans="1:1">
      <c r="A192" s="22" t="s">
        <v>977</v>
      </c>
    </row>
    <row r="193" spans="1:1">
      <c r="A193" s="22" t="s">
        <v>978</v>
      </c>
    </row>
    <row r="194" spans="1:1">
      <c r="A194" s="22" t="s">
        <v>979</v>
      </c>
    </row>
    <row r="195" spans="1:1">
      <c r="A195" s="22" t="s">
        <v>980</v>
      </c>
    </row>
    <row r="196" spans="1:1">
      <c r="A196" s="22" t="s">
        <v>981</v>
      </c>
    </row>
    <row r="197" spans="1:1">
      <c r="A197" s="22" t="s">
        <v>982</v>
      </c>
    </row>
    <row r="198" spans="1:1">
      <c r="A198" s="22" t="s">
        <v>983</v>
      </c>
    </row>
    <row r="199" spans="1:1">
      <c r="A199" s="22" t="s">
        <v>984</v>
      </c>
    </row>
    <row r="200" spans="1:1">
      <c r="A200" s="22" t="s">
        <v>985</v>
      </c>
    </row>
    <row r="201" spans="1:1">
      <c r="A201" s="22" t="s">
        <v>986</v>
      </c>
    </row>
    <row r="202" spans="1:1">
      <c r="A202" s="22" t="s">
        <v>855</v>
      </c>
    </row>
    <row r="203" spans="1:1">
      <c r="A203" s="22" t="s">
        <v>862</v>
      </c>
    </row>
    <row r="204" spans="1:1">
      <c r="A204" s="22" t="s">
        <v>987</v>
      </c>
    </row>
    <row r="205" spans="1:1">
      <c r="A205" s="22" t="s">
        <v>988</v>
      </c>
    </row>
    <row r="206" spans="1:1">
      <c r="A206" s="22" t="s">
        <v>989</v>
      </c>
    </row>
    <row r="207" spans="1:1">
      <c r="A207" s="22" t="s">
        <v>990</v>
      </c>
    </row>
    <row r="208" spans="1:1">
      <c r="A208" s="22" t="s">
        <v>991</v>
      </c>
    </row>
    <row r="209" spans="1:1">
      <c r="A209" s="22" t="s">
        <v>992</v>
      </c>
    </row>
    <row r="210" spans="1:1">
      <c r="A210" s="22" t="s">
        <v>993</v>
      </c>
    </row>
    <row r="211" spans="1:1">
      <c r="A211" s="22" t="s">
        <v>994</v>
      </c>
    </row>
    <row r="212" spans="1:1">
      <c r="A212" s="22" t="s">
        <v>995</v>
      </c>
    </row>
    <row r="213" spans="1:1">
      <c r="A213" s="22" t="s">
        <v>996</v>
      </c>
    </row>
    <row r="214" spans="1:1">
      <c r="A214" s="22" t="s">
        <v>997</v>
      </c>
    </row>
    <row r="215" spans="1:1">
      <c r="A215" s="22" t="s">
        <v>998</v>
      </c>
    </row>
    <row r="216" spans="1:1">
      <c r="A216" s="22" t="s">
        <v>999</v>
      </c>
    </row>
    <row r="217" spans="1:1">
      <c r="A217" s="22" t="s">
        <v>1000</v>
      </c>
    </row>
    <row r="218" spans="1:1">
      <c r="A218" s="22" t="s">
        <v>1001</v>
      </c>
    </row>
    <row r="219" spans="1:1">
      <c r="A219" s="22" t="s">
        <v>1002</v>
      </c>
    </row>
    <row r="220" spans="1:1">
      <c r="A220" s="22" t="s">
        <v>876</v>
      </c>
    </row>
    <row r="221" spans="1:1">
      <c r="A221" s="22" t="s">
        <v>1003</v>
      </c>
    </row>
    <row r="222" spans="1:1">
      <c r="A222" s="22" t="s">
        <v>855</v>
      </c>
    </row>
    <row r="223" spans="1:1">
      <c r="A223" s="22" t="s">
        <v>1004</v>
      </c>
    </row>
    <row r="224" spans="1:1">
      <c r="A224" s="22" t="s">
        <v>1005</v>
      </c>
    </row>
    <row r="225" spans="1:1">
      <c r="A225" s="22" t="s">
        <v>1006</v>
      </c>
    </row>
    <row r="226" spans="1:1">
      <c r="A226" s="22" t="s">
        <v>855</v>
      </c>
    </row>
    <row r="227" spans="1:1">
      <c r="A227" s="22" t="s">
        <v>881</v>
      </c>
    </row>
    <row r="228" spans="1:1">
      <c r="A228" s="22" t="s">
        <v>882</v>
      </c>
    </row>
    <row r="229" spans="1:1">
      <c r="A229" s="24"/>
    </row>
    <row r="230" spans="1:1">
      <c r="A230" s="22" t="s">
        <v>1007</v>
      </c>
    </row>
    <row r="231" spans="1:1">
      <c r="A231" s="24"/>
    </row>
    <row r="232" spans="1:1">
      <c r="A232" s="22" t="s">
        <v>882</v>
      </c>
    </row>
    <row r="233" spans="1:1">
      <c r="A233" s="22" t="s">
        <v>884</v>
      </c>
    </row>
    <row r="234" spans="1:1">
      <c r="A234" s="22" t="s">
        <v>1008</v>
      </c>
    </row>
    <row r="235" spans="1:1">
      <c r="A235" s="22" t="s">
        <v>1009</v>
      </c>
    </row>
    <row r="236" spans="1:1">
      <c r="A236" s="22" t="s">
        <v>854</v>
      </c>
    </row>
    <row r="237" spans="1:1">
      <c r="A237" s="22" t="s">
        <v>855</v>
      </c>
    </row>
    <row r="238" spans="1:1">
      <c r="A238" s="22" t="s">
        <v>856</v>
      </c>
    </row>
    <row r="239" spans="1:1">
      <c r="A239" s="22" t="s">
        <v>1010</v>
      </c>
    </row>
    <row r="240" spans="1:1">
      <c r="A240" s="22" t="s">
        <v>1011</v>
      </c>
    </row>
    <row r="241" spans="1:1">
      <c r="A241" s="22" t="s">
        <v>1012</v>
      </c>
    </row>
    <row r="242" spans="1:1">
      <c r="A242" s="22" t="s">
        <v>1013</v>
      </c>
    </row>
    <row r="243" spans="1:1">
      <c r="A243" s="22" t="s">
        <v>1014</v>
      </c>
    </row>
    <row r="244" spans="1:1">
      <c r="A244" s="22" t="s">
        <v>1015</v>
      </c>
    </row>
    <row r="245" spans="1:1">
      <c r="A245" s="22" t="s">
        <v>1016</v>
      </c>
    </row>
    <row r="246" spans="1:1">
      <c r="A246" s="22" t="s">
        <v>855</v>
      </c>
    </row>
    <row r="247" spans="1:1">
      <c r="A247" s="22" t="s">
        <v>862</v>
      </c>
    </row>
    <row r="248" spans="1:1">
      <c r="A248" s="22" t="s">
        <v>1017</v>
      </c>
    </row>
    <row r="249" spans="1:1">
      <c r="A249" s="22" t="s">
        <v>1018</v>
      </c>
    </row>
    <row r="250" spans="1:1">
      <c r="A250" s="22" t="s">
        <v>1019</v>
      </c>
    </row>
    <row r="251" spans="1:1">
      <c r="A251" s="22" t="s">
        <v>1020</v>
      </c>
    </row>
    <row r="252" spans="1:1">
      <c r="A252" s="22" t="s">
        <v>1021</v>
      </c>
    </row>
    <row r="253" spans="1:1">
      <c r="A253" s="22" t="s">
        <v>1022</v>
      </c>
    </row>
    <row r="254" spans="1:1">
      <c r="A254" s="22" t="s">
        <v>1023</v>
      </c>
    </row>
    <row r="255" spans="1:1">
      <c r="A255" s="22" t="s">
        <v>1024</v>
      </c>
    </row>
    <row r="256" spans="1:1">
      <c r="A256" s="22" t="s">
        <v>1025</v>
      </c>
    </row>
    <row r="257" spans="1:1">
      <c r="A257" s="22" t="s">
        <v>927</v>
      </c>
    </row>
    <row r="258" spans="1:1">
      <c r="A258" s="22" t="s">
        <v>876</v>
      </c>
    </row>
    <row r="259" spans="1:1">
      <c r="A259" s="22" t="s">
        <v>1026</v>
      </c>
    </row>
    <row r="260" spans="1:1">
      <c r="A260" s="22" t="s">
        <v>855</v>
      </c>
    </row>
    <row r="261" spans="1:1">
      <c r="A261" s="22" t="s">
        <v>1027</v>
      </c>
    </row>
    <row r="262" spans="1:1">
      <c r="A262" s="22" t="s">
        <v>1028</v>
      </c>
    </row>
    <row r="263" spans="1:1">
      <c r="A263" s="22" t="s">
        <v>1029</v>
      </c>
    </row>
    <row r="264" spans="1:1">
      <c r="A264" s="22" t="s">
        <v>855</v>
      </c>
    </row>
    <row r="265" spans="1:1">
      <c r="A265" s="22" t="s">
        <v>881</v>
      </c>
    </row>
    <row r="266" spans="1:1">
      <c r="A266" s="22" t="s">
        <v>882</v>
      </c>
    </row>
    <row r="267" spans="1:1">
      <c r="A267" s="24"/>
    </row>
    <row r="268" spans="1:1">
      <c r="A268" s="22" t="s">
        <v>1030</v>
      </c>
    </row>
    <row r="269" spans="1:1">
      <c r="A269" s="24"/>
    </row>
    <row r="270" spans="1:1">
      <c r="A270" s="22" t="s">
        <v>882</v>
      </c>
    </row>
    <row r="271" spans="1:1">
      <c r="A271" s="22" t="s">
        <v>884</v>
      </c>
    </row>
    <row r="272" spans="1:1">
      <c r="A272" s="22" t="s">
        <v>1031</v>
      </c>
    </row>
    <row r="273" spans="1:1">
      <c r="A273" s="22" t="s">
        <v>1032</v>
      </c>
    </row>
    <row r="274" spans="1:1">
      <c r="A274" s="22" t="s">
        <v>854</v>
      </c>
    </row>
    <row r="275" spans="1:1">
      <c r="A275" s="22" t="s">
        <v>855</v>
      </c>
    </row>
    <row r="276" spans="1:1">
      <c r="A276" s="22" t="s">
        <v>856</v>
      </c>
    </row>
    <row r="277" spans="1:1">
      <c r="A277" s="22" t="s">
        <v>1033</v>
      </c>
    </row>
    <row r="278" spans="1:1">
      <c r="A278" s="22" t="s">
        <v>1034</v>
      </c>
    </row>
    <row r="279" spans="1:1">
      <c r="A279" s="22" t="s">
        <v>1035</v>
      </c>
    </row>
    <row r="280" spans="1:1">
      <c r="A280" s="22" t="s">
        <v>1036</v>
      </c>
    </row>
    <row r="281" spans="1:1">
      <c r="A281" s="22" t="s">
        <v>855</v>
      </c>
    </row>
    <row r="282" spans="1:1">
      <c r="A282" s="22" t="s">
        <v>862</v>
      </c>
    </row>
    <row r="283" spans="1:1">
      <c r="A283" s="22" t="s">
        <v>1037</v>
      </c>
    </row>
    <row r="284" spans="1:1">
      <c r="A284" s="22" t="s">
        <v>1038</v>
      </c>
    </row>
    <row r="285" spans="1:1">
      <c r="A285" s="22" t="s">
        <v>1039</v>
      </c>
    </row>
    <row r="286" spans="1:1">
      <c r="A286" s="22" t="s">
        <v>1040</v>
      </c>
    </row>
    <row r="287" spans="1:1">
      <c r="A287" s="22" t="s">
        <v>1041</v>
      </c>
    </row>
    <row r="288" spans="1:1">
      <c r="A288" s="22" t="s">
        <v>927</v>
      </c>
    </row>
    <row r="289" spans="1:1">
      <c r="A289" s="22" t="s">
        <v>876</v>
      </c>
    </row>
    <row r="290" spans="1:1">
      <c r="A290" s="22" t="s">
        <v>1042</v>
      </c>
    </row>
    <row r="291" spans="1:1">
      <c r="A291" s="22" t="s">
        <v>855</v>
      </c>
    </row>
    <row r="292" spans="1:1">
      <c r="A292" s="22" t="s">
        <v>1043</v>
      </c>
    </row>
    <row r="293" spans="1:1">
      <c r="A293" s="22" t="s">
        <v>1044</v>
      </c>
    </row>
    <row r="294" spans="1:1">
      <c r="A294" s="22" t="s">
        <v>1045</v>
      </c>
    </row>
    <row r="295" spans="1:1">
      <c r="A295" s="22" t="s">
        <v>855</v>
      </c>
    </row>
    <row r="296" spans="1:1">
      <c r="A296" s="22" t="s">
        <v>881</v>
      </c>
    </row>
    <row r="297" spans="1:1">
      <c r="A297" s="22" t="s">
        <v>882</v>
      </c>
    </row>
    <row r="298" spans="1:1">
      <c r="A298" s="24"/>
    </row>
    <row r="299" spans="1:1">
      <c r="A299" s="22" t="s">
        <v>1046</v>
      </c>
    </row>
    <row r="300" spans="1:1">
      <c r="A300" s="24"/>
    </row>
    <row r="301" spans="1:1">
      <c r="A301" s="22" t="s">
        <v>882</v>
      </c>
    </row>
    <row r="302" spans="1:1">
      <c r="A302" s="22" t="s">
        <v>884</v>
      </c>
    </row>
    <row r="303" spans="1:1">
      <c r="A303" s="22" t="s">
        <v>1047</v>
      </c>
    </row>
    <row r="304" spans="1:1">
      <c r="A304" s="22" t="s">
        <v>1032</v>
      </c>
    </row>
    <row r="305" spans="1:1">
      <c r="A305" s="22" t="s">
        <v>854</v>
      </c>
    </row>
    <row r="306" spans="1:1">
      <c r="A306" s="22" t="s">
        <v>855</v>
      </c>
    </row>
    <row r="307" spans="1:1">
      <c r="A307" s="22" t="s">
        <v>856</v>
      </c>
    </row>
    <row r="308" spans="1:1">
      <c r="A308" s="22" t="s">
        <v>1048</v>
      </c>
    </row>
    <row r="309" spans="1:1">
      <c r="A309" s="22" t="s">
        <v>1049</v>
      </c>
    </row>
    <row r="310" spans="1:1">
      <c r="A310" s="22" t="s">
        <v>1050</v>
      </c>
    </row>
    <row r="311" spans="1:1">
      <c r="A311" s="22" t="s">
        <v>1051</v>
      </c>
    </row>
    <row r="312" spans="1:1">
      <c r="A312" s="22" t="s">
        <v>855</v>
      </c>
    </row>
    <row r="313" spans="1:1">
      <c r="A313" s="22" t="s">
        <v>862</v>
      </c>
    </row>
    <row r="314" spans="1:1">
      <c r="A314" s="22" t="s">
        <v>1052</v>
      </c>
    </row>
    <row r="315" spans="1:1">
      <c r="A315" s="22" t="s">
        <v>1053</v>
      </c>
    </row>
    <row r="316" spans="1:1">
      <c r="A316" s="22" t="s">
        <v>1054</v>
      </c>
    </row>
    <row r="317" spans="1:1">
      <c r="A317" s="22" t="s">
        <v>1055</v>
      </c>
    </row>
    <row r="318" spans="1:1">
      <c r="A318" s="22" t="s">
        <v>876</v>
      </c>
    </row>
    <row r="319" spans="1:1">
      <c r="A319" s="22" t="s">
        <v>1056</v>
      </c>
    </row>
    <row r="320" spans="1:1">
      <c r="A320" s="22" t="s">
        <v>855</v>
      </c>
    </row>
    <row r="321" spans="1:8">
      <c r="A321" s="22" t="s">
        <v>1057</v>
      </c>
    </row>
    <row r="322" spans="1:8">
      <c r="A322" s="22" t="s">
        <v>1058</v>
      </c>
    </row>
    <row r="323" spans="1:8">
      <c r="A323" s="22" t="s">
        <v>1059</v>
      </c>
    </row>
    <row r="324" spans="1:8">
      <c r="A324" s="22" t="s">
        <v>855</v>
      </c>
    </row>
    <row r="325" spans="1:8">
      <c r="A325" s="22" t="s">
        <v>881</v>
      </c>
    </row>
    <row r="326" spans="1:8">
      <c r="A326" s="22" t="s">
        <v>882</v>
      </c>
    </row>
    <row r="327" spans="1:8">
      <c r="A327" s="24"/>
    </row>
    <row r="328" spans="1:8">
      <c r="A328" s="22" t="s">
        <v>1060</v>
      </c>
    </row>
    <row r="329" spans="1:8">
      <c r="A329" s="24"/>
    </row>
    <row r="330" spans="1:8">
      <c r="A330" s="22" t="s">
        <v>882</v>
      </c>
    </row>
    <row r="331" spans="1:8">
      <c r="A331" s="22" t="s">
        <v>884</v>
      </c>
    </row>
    <row r="332" spans="1:8">
      <c r="A332" s="28" t="s">
        <v>1061</v>
      </c>
      <c r="B332" s="29"/>
      <c r="C332" s="29"/>
      <c r="D332" s="29"/>
      <c r="E332" s="29"/>
      <c r="F332" s="29"/>
      <c r="G332" s="29"/>
      <c r="H332" s="29"/>
    </row>
    <row r="333" spans="1:8">
      <c r="A333" s="28" t="s">
        <v>1062</v>
      </c>
      <c r="B333" s="29"/>
      <c r="C333" s="29"/>
      <c r="D333" s="29"/>
      <c r="E333" s="29"/>
      <c r="F333" s="29"/>
      <c r="G333" s="29"/>
      <c r="H333" s="29"/>
    </row>
    <row r="334" spans="1:8">
      <c r="A334" s="28" t="s">
        <v>854</v>
      </c>
      <c r="B334" s="29"/>
      <c r="C334" s="29"/>
      <c r="D334" s="29"/>
      <c r="E334" s="29"/>
      <c r="F334" s="29"/>
      <c r="G334" s="29"/>
      <c r="H334" s="29"/>
    </row>
    <row r="335" spans="1:8">
      <c r="A335" s="28" t="s">
        <v>855</v>
      </c>
      <c r="B335" s="29"/>
      <c r="C335" s="29"/>
      <c r="D335" s="29"/>
      <c r="E335" s="29"/>
      <c r="F335" s="29"/>
      <c r="G335" s="29"/>
      <c r="H335" s="29"/>
    </row>
    <row r="336" spans="1:8">
      <c r="A336" s="28" t="s">
        <v>856</v>
      </c>
      <c r="B336" s="29"/>
      <c r="C336" s="29"/>
      <c r="D336" s="29"/>
      <c r="E336" s="29"/>
      <c r="F336" s="29"/>
      <c r="G336" s="29"/>
      <c r="H336" s="29"/>
    </row>
    <row r="337" spans="1:8">
      <c r="A337" s="28" t="s">
        <v>1063</v>
      </c>
      <c r="B337" s="29"/>
      <c r="C337" s="29"/>
      <c r="D337" s="29"/>
      <c r="E337" s="29"/>
      <c r="F337" s="29"/>
      <c r="G337" s="29"/>
      <c r="H337" s="29"/>
    </row>
    <row r="338" spans="1:8">
      <c r="A338" s="28" t="s">
        <v>1064</v>
      </c>
      <c r="B338" s="29"/>
      <c r="C338" s="29"/>
      <c r="D338" s="29"/>
      <c r="E338" s="29"/>
      <c r="F338" s="29"/>
      <c r="G338" s="29"/>
      <c r="H338" s="29"/>
    </row>
    <row r="339" spans="1:8">
      <c r="A339" s="28" t="s">
        <v>1065</v>
      </c>
      <c r="B339" s="29"/>
      <c r="C339" s="29"/>
      <c r="D339" s="29"/>
      <c r="E339" s="29"/>
      <c r="F339" s="29"/>
      <c r="G339" s="29"/>
      <c r="H339" s="29"/>
    </row>
    <row r="340" spans="1:8">
      <c r="A340" s="28" t="s">
        <v>1066</v>
      </c>
      <c r="B340" s="29"/>
      <c r="C340" s="29"/>
      <c r="D340" s="29"/>
      <c r="E340" s="29"/>
      <c r="F340" s="29"/>
      <c r="G340" s="29"/>
      <c r="H340" s="29"/>
    </row>
    <row r="341" spans="1:8">
      <c r="A341" s="28" t="s">
        <v>1067</v>
      </c>
      <c r="B341" s="29"/>
      <c r="C341" s="29"/>
      <c r="D341" s="29"/>
      <c r="E341" s="29"/>
      <c r="F341" s="29"/>
      <c r="G341" s="29"/>
      <c r="H341" s="29"/>
    </row>
    <row r="342" spans="1:8">
      <c r="A342" s="28" t="s">
        <v>855</v>
      </c>
      <c r="B342" s="29"/>
      <c r="C342" s="29"/>
      <c r="D342" s="29"/>
      <c r="E342" s="29"/>
      <c r="F342" s="29"/>
      <c r="G342" s="29"/>
      <c r="H342" s="29"/>
    </row>
    <row r="343" spans="1:8">
      <c r="A343" s="28" t="s">
        <v>862</v>
      </c>
      <c r="B343" s="29"/>
      <c r="C343" s="29"/>
      <c r="D343" s="29"/>
      <c r="E343" s="29"/>
      <c r="F343" s="29"/>
      <c r="G343" s="29"/>
      <c r="H343" s="29"/>
    </row>
    <row r="344" spans="1:8">
      <c r="A344" s="28" t="s">
        <v>1068</v>
      </c>
      <c r="B344" s="29"/>
      <c r="C344" s="29"/>
      <c r="D344" s="29"/>
      <c r="E344" s="29"/>
      <c r="F344" s="29"/>
      <c r="G344" s="29"/>
      <c r="H344" s="29"/>
    </row>
    <row r="345" spans="1:8">
      <c r="A345" s="28" t="s">
        <v>1069</v>
      </c>
      <c r="B345" s="29"/>
      <c r="C345" s="29"/>
      <c r="D345" s="29"/>
      <c r="E345" s="29"/>
      <c r="F345" s="29"/>
      <c r="G345" s="29"/>
      <c r="H345" s="29"/>
    </row>
    <row r="346" spans="1:8">
      <c r="A346" s="28" t="s">
        <v>1070</v>
      </c>
      <c r="B346" s="29"/>
      <c r="C346" s="29"/>
      <c r="D346" s="29"/>
      <c r="E346" s="29"/>
      <c r="F346" s="29"/>
      <c r="G346" s="29"/>
      <c r="H346" s="29"/>
    </row>
    <row r="347" spans="1:8">
      <c r="A347" s="28" t="s">
        <v>1071</v>
      </c>
      <c r="B347" s="29"/>
      <c r="C347" s="29"/>
      <c r="D347" s="29"/>
      <c r="E347" s="29"/>
      <c r="F347" s="29"/>
      <c r="G347" s="29"/>
      <c r="H347" s="29"/>
    </row>
    <row r="348" spans="1:8">
      <c r="A348" s="28" t="s">
        <v>1072</v>
      </c>
      <c r="B348" s="29"/>
      <c r="C348" s="29"/>
      <c r="D348" s="29"/>
      <c r="E348" s="29"/>
      <c r="F348" s="29"/>
      <c r="G348" s="29"/>
      <c r="H348" s="29"/>
    </row>
    <row r="349" spans="1:8">
      <c r="A349" s="28" t="s">
        <v>876</v>
      </c>
      <c r="B349" s="29"/>
      <c r="C349" s="29"/>
      <c r="D349" s="29"/>
      <c r="E349" s="29"/>
      <c r="F349" s="29"/>
      <c r="G349" s="29"/>
      <c r="H349" s="29"/>
    </row>
    <row r="350" spans="1:8">
      <c r="A350" s="28" t="s">
        <v>1073</v>
      </c>
      <c r="B350" s="29"/>
      <c r="C350" s="29"/>
      <c r="D350" s="29"/>
      <c r="E350" s="29"/>
      <c r="F350" s="29"/>
      <c r="G350" s="29"/>
      <c r="H350" s="29"/>
    </row>
    <row r="351" spans="1:8">
      <c r="A351" s="28" t="s">
        <v>855</v>
      </c>
      <c r="B351" s="29"/>
      <c r="C351" s="29"/>
      <c r="D351" s="29"/>
      <c r="E351" s="29"/>
      <c r="F351" s="29"/>
      <c r="G351" s="29"/>
      <c r="H351" s="29"/>
    </row>
    <row r="352" spans="1:8">
      <c r="A352" s="28" t="s">
        <v>1074</v>
      </c>
      <c r="B352" s="29"/>
      <c r="C352" s="29"/>
      <c r="D352" s="29"/>
      <c r="E352" s="29"/>
      <c r="F352" s="29"/>
      <c r="G352" s="29"/>
      <c r="H352" s="29"/>
    </row>
    <row r="353" spans="1:8">
      <c r="A353" s="28" t="s">
        <v>1075</v>
      </c>
      <c r="B353" s="29"/>
      <c r="C353" s="29"/>
      <c r="D353" s="29"/>
      <c r="E353" s="29"/>
      <c r="F353" s="29"/>
      <c r="G353" s="29"/>
      <c r="H353" s="29"/>
    </row>
    <row r="354" spans="1:8">
      <c r="A354" s="28" t="s">
        <v>880</v>
      </c>
      <c r="B354" s="29"/>
      <c r="C354" s="29"/>
      <c r="D354" s="29"/>
      <c r="E354" s="29"/>
      <c r="F354" s="29"/>
      <c r="G354" s="29"/>
      <c r="H354" s="29"/>
    </row>
    <row r="355" spans="1:8">
      <c r="A355" s="28" t="s">
        <v>855</v>
      </c>
      <c r="B355" s="29"/>
      <c r="C355" s="29"/>
      <c r="D355" s="29"/>
      <c r="E355" s="29"/>
      <c r="F355" s="29"/>
      <c r="G355" s="29"/>
      <c r="H355" s="29"/>
    </row>
    <row r="356" spans="1:8">
      <c r="A356" s="28" t="s">
        <v>881</v>
      </c>
      <c r="B356" s="29"/>
      <c r="C356" s="29"/>
      <c r="D356" s="29"/>
      <c r="E356" s="29"/>
      <c r="F356" s="29"/>
      <c r="G356" s="29"/>
      <c r="H356" s="29"/>
    </row>
    <row r="357" spans="1:8">
      <c r="A357" s="22" t="s">
        <v>882</v>
      </c>
    </row>
    <row r="358" spans="1:8">
      <c r="A358" s="24"/>
    </row>
    <row r="359" spans="1:8">
      <c r="A359" s="22" t="s">
        <v>1076</v>
      </c>
    </row>
    <row r="360" spans="1:8">
      <c r="A360" s="24"/>
    </row>
    <row r="361" spans="1:8">
      <c r="A361" s="22" t="s">
        <v>882</v>
      </c>
    </row>
    <row r="362" spans="1:8">
      <c r="A362" s="22" t="s">
        <v>884</v>
      </c>
    </row>
    <row r="363" spans="1:8">
      <c r="A363" s="22" t="s">
        <v>1077</v>
      </c>
    </row>
    <row r="364" spans="1:8">
      <c r="A364" s="22" t="s">
        <v>1009</v>
      </c>
    </row>
    <row r="365" spans="1:8">
      <c r="A365" s="22" t="s">
        <v>1078</v>
      </c>
    </row>
    <row r="366" spans="1:8">
      <c r="A366" s="22" t="s">
        <v>855</v>
      </c>
    </row>
    <row r="367" spans="1:8">
      <c r="A367" s="22" t="s">
        <v>856</v>
      </c>
    </row>
    <row r="368" spans="1:8">
      <c r="A368" s="22" t="s">
        <v>1079</v>
      </c>
    </row>
    <row r="369" spans="1:1">
      <c r="A369" s="22" t="s">
        <v>1080</v>
      </c>
    </row>
    <row r="370" spans="1:1">
      <c r="A370" s="22" t="s">
        <v>1081</v>
      </c>
    </row>
    <row r="371" spans="1:1">
      <c r="A371" s="22" t="s">
        <v>1082</v>
      </c>
    </row>
    <row r="372" spans="1:1">
      <c r="A372" s="22" t="s">
        <v>1083</v>
      </c>
    </row>
    <row r="373" spans="1:1">
      <c r="A373" s="22" t="s">
        <v>1084</v>
      </c>
    </row>
    <row r="374" spans="1:1">
      <c r="A374" s="22" t="s">
        <v>855</v>
      </c>
    </row>
    <row r="375" spans="1:1">
      <c r="A375" s="22" t="s">
        <v>862</v>
      </c>
    </row>
    <row r="376" spans="1:1">
      <c r="A376" s="22" t="s">
        <v>1085</v>
      </c>
    </row>
    <row r="377" spans="1:1">
      <c r="A377" s="22" t="s">
        <v>1086</v>
      </c>
    </row>
    <row r="378" spans="1:1">
      <c r="A378" s="22" t="s">
        <v>1087</v>
      </c>
    </row>
    <row r="379" spans="1:1">
      <c r="A379" s="22" t="s">
        <v>1088</v>
      </c>
    </row>
    <row r="380" spans="1:1">
      <c r="A380" s="22" t="s">
        <v>1089</v>
      </c>
    </row>
    <row r="381" spans="1:1">
      <c r="A381" s="22" t="s">
        <v>1090</v>
      </c>
    </row>
    <row r="382" spans="1:1">
      <c r="A382" s="22" t="s">
        <v>1091</v>
      </c>
    </row>
    <row r="383" spans="1:1">
      <c r="A383" s="22" t="s">
        <v>1092</v>
      </c>
    </row>
    <row r="384" spans="1:1">
      <c r="A384" s="22" t="s">
        <v>876</v>
      </c>
    </row>
    <row r="385" spans="1:1">
      <c r="A385" s="22" t="s">
        <v>1093</v>
      </c>
    </row>
    <row r="386" spans="1:1">
      <c r="A386" s="22" t="s">
        <v>855</v>
      </c>
    </row>
    <row r="387" spans="1:1">
      <c r="A387" s="22" t="s">
        <v>1043</v>
      </c>
    </row>
    <row r="388" spans="1:1">
      <c r="A388" s="22" t="s">
        <v>1094</v>
      </c>
    </row>
    <row r="389" spans="1:1">
      <c r="A389" s="22" t="s">
        <v>1095</v>
      </c>
    </row>
    <row r="390" spans="1:1">
      <c r="A390" s="22" t="s">
        <v>855</v>
      </c>
    </row>
    <row r="391" spans="1:1">
      <c r="A391" s="22" t="s">
        <v>881</v>
      </c>
    </row>
    <row r="392" spans="1:1">
      <c r="A392" s="22" t="s">
        <v>882</v>
      </c>
    </row>
    <row r="393" spans="1:1">
      <c r="A393" s="24"/>
    </row>
    <row r="394" spans="1:1">
      <c r="A394" s="22" t="s">
        <v>1096</v>
      </c>
    </row>
    <row r="395" spans="1:1">
      <c r="A395" s="24"/>
    </row>
    <row r="396" spans="1:1">
      <c r="A396" s="22" t="s">
        <v>882</v>
      </c>
    </row>
    <row r="397" spans="1:1">
      <c r="A397" s="22" t="s">
        <v>884</v>
      </c>
    </row>
    <row r="398" spans="1:1">
      <c r="A398" s="22" t="s">
        <v>1097</v>
      </c>
    </row>
    <row r="399" spans="1:1">
      <c r="A399" s="22" t="s">
        <v>1098</v>
      </c>
    </row>
    <row r="400" spans="1:1">
      <c r="A400" s="22" t="s">
        <v>854</v>
      </c>
    </row>
    <row r="401" spans="1:1">
      <c r="A401" s="22" t="s">
        <v>855</v>
      </c>
    </row>
    <row r="402" spans="1:1">
      <c r="A402" s="22" t="s">
        <v>856</v>
      </c>
    </row>
    <row r="403" spans="1:1">
      <c r="A403" s="22" t="s">
        <v>1099</v>
      </c>
    </row>
    <row r="404" spans="1:1">
      <c r="A404" s="22" t="s">
        <v>1100</v>
      </c>
    </row>
    <row r="405" spans="1:1">
      <c r="A405" s="22" t="s">
        <v>1101</v>
      </c>
    </row>
    <row r="406" spans="1:1">
      <c r="A406" s="22" t="s">
        <v>1102</v>
      </c>
    </row>
    <row r="407" spans="1:1">
      <c r="A407" s="22" t="s">
        <v>1103</v>
      </c>
    </row>
    <row r="408" spans="1:1">
      <c r="A408" s="22" t="s">
        <v>1104</v>
      </c>
    </row>
    <row r="409" spans="1:1">
      <c r="A409" s="22" t="s">
        <v>1105</v>
      </c>
    </row>
    <row r="410" spans="1:1">
      <c r="A410" s="22" t="s">
        <v>855</v>
      </c>
    </row>
    <row r="411" spans="1:1">
      <c r="A411" s="22" t="s">
        <v>862</v>
      </c>
    </row>
    <row r="412" spans="1:1">
      <c r="A412" s="22" t="s">
        <v>1106</v>
      </c>
    </row>
    <row r="413" spans="1:1">
      <c r="A413" s="22" t="s">
        <v>1107</v>
      </c>
    </row>
    <row r="414" spans="1:1">
      <c r="A414" s="22" t="s">
        <v>1108</v>
      </c>
    </row>
    <row r="415" spans="1:1">
      <c r="A415" s="22" t="s">
        <v>1109</v>
      </c>
    </row>
    <row r="416" spans="1:1">
      <c r="A416" s="22" t="s">
        <v>1110</v>
      </c>
    </row>
    <row r="417" spans="1:1">
      <c r="A417" s="22" t="s">
        <v>1111</v>
      </c>
    </row>
    <row r="418" spans="1:1">
      <c r="A418" s="22" t="s">
        <v>1112</v>
      </c>
    </row>
    <row r="419" spans="1:1">
      <c r="A419" s="22" t="s">
        <v>1113</v>
      </c>
    </row>
    <row r="420" spans="1:1">
      <c r="A420" s="22" t="s">
        <v>1114</v>
      </c>
    </row>
    <row r="421" spans="1:1">
      <c r="A421" s="22" t="s">
        <v>876</v>
      </c>
    </row>
    <row r="422" spans="1:1">
      <c r="A422" s="22" t="s">
        <v>1115</v>
      </c>
    </row>
    <row r="423" spans="1:1">
      <c r="A423" s="22" t="s">
        <v>855</v>
      </c>
    </row>
    <row r="424" spans="1:1">
      <c r="A424" s="22" t="s">
        <v>1116</v>
      </c>
    </row>
    <row r="425" spans="1:1">
      <c r="A425" s="22" t="s">
        <v>1117</v>
      </c>
    </row>
    <row r="426" spans="1:1">
      <c r="A426" s="22" t="s">
        <v>1118</v>
      </c>
    </row>
    <row r="427" spans="1:1">
      <c r="A427" s="22" t="s">
        <v>855</v>
      </c>
    </row>
    <row r="428" spans="1:1">
      <c r="A428" s="22" t="s">
        <v>881</v>
      </c>
    </row>
    <row r="429" spans="1:1">
      <c r="A429" s="22" t="s">
        <v>882</v>
      </c>
    </row>
    <row r="430" spans="1:1">
      <c r="A430" s="24"/>
    </row>
    <row r="431" spans="1:1">
      <c r="A431" s="22" t="s">
        <v>1119</v>
      </c>
    </row>
    <row r="432" spans="1:1">
      <c r="A432" s="24"/>
    </row>
    <row r="433" spans="1:1">
      <c r="A433" s="22" t="s">
        <v>1120</v>
      </c>
    </row>
    <row r="434" spans="1:1">
      <c r="A434" s="24"/>
    </row>
    <row r="435" spans="1:1">
      <c r="A435" s="22" t="s">
        <v>1121</v>
      </c>
    </row>
    <row r="436" spans="1:1">
      <c r="A436" s="24"/>
    </row>
    <row r="437" spans="1:1">
      <c r="A437" s="22" t="s">
        <v>882</v>
      </c>
    </row>
    <row r="438" spans="1:1">
      <c r="A438" s="22" t="s">
        <v>1122</v>
      </c>
    </row>
    <row r="439" spans="1:1">
      <c r="A439" s="22" t="s">
        <v>1123</v>
      </c>
    </row>
    <row r="440" spans="1:1">
      <c r="A440" s="22" t="s">
        <v>1124</v>
      </c>
    </row>
    <row r="441" spans="1:1">
      <c r="A441" s="22" t="s">
        <v>1125</v>
      </c>
    </row>
    <row r="442" spans="1:1">
      <c r="A442" s="22" t="s">
        <v>1126</v>
      </c>
    </row>
    <row r="443" spans="1:1">
      <c r="A443" s="22" t="s">
        <v>1127</v>
      </c>
    </row>
    <row r="444" spans="1:1">
      <c r="A444" s="22" t="s">
        <v>1128</v>
      </c>
    </row>
    <row r="445" spans="1:1">
      <c r="A445" s="22" t="s">
        <v>1129</v>
      </c>
    </row>
    <row r="446" spans="1:1">
      <c r="A446" s="22" t="s">
        <v>1130</v>
      </c>
    </row>
    <row r="447" spans="1:1">
      <c r="A447" s="22" t="s">
        <v>1131</v>
      </c>
    </row>
    <row r="448" spans="1:1">
      <c r="A448" s="22" t="s">
        <v>1132</v>
      </c>
    </row>
    <row r="449" spans="1:1">
      <c r="A449" s="22" t="s">
        <v>1133</v>
      </c>
    </row>
    <row r="450" spans="1:1">
      <c r="A450" s="22" t="s">
        <v>1134</v>
      </c>
    </row>
    <row r="451" spans="1:1">
      <c r="A451" s="22" t="s">
        <v>1128</v>
      </c>
    </row>
    <row r="452" spans="1:1">
      <c r="A452" s="22" t="s">
        <v>1135</v>
      </c>
    </row>
    <row r="453" spans="1:1">
      <c r="A453" s="22" t="s">
        <v>1126</v>
      </c>
    </row>
    <row r="454" spans="1:1">
      <c r="A454" s="22" t="s">
        <v>1136</v>
      </c>
    </row>
    <row r="455" spans="1:1">
      <c r="A455" s="22" t="s">
        <v>1137</v>
      </c>
    </row>
    <row r="456" spans="1:1">
      <c r="A456" s="22" t="s">
        <v>1125</v>
      </c>
    </row>
    <row r="457" spans="1:1">
      <c r="A457" s="22" t="s">
        <v>1126</v>
      </c>
    </row>
    <row r="458" spans="1:1">
      <c r="A458" s="22" t="s">
        <v>1136</v>
      </c>
    </row>
    <row r="459" spans="1:1">
      <c r="A459" s="22" t="s">
        <v>1138</v>
      </c>
    </row>
    <row r="460" spans="1:1">
      <c r="A460" s="22" t="s">
        <v>1139</v>
      </c>
    </row>
    <row r="461" spans="1:1">
      <c r="A461" s="22" t="s">
        <v>1140</v>
      </c>
    </row>
    <row r="462" spans="1:1">
      <c r="A462" s="22" t="s">
        <v>1125</v>
      </c>
    </row>
    <row r="463" spans="1:1">
      <c r="A463" s="22" t="s">
        <v>1126</v>
      </c>
    </row>
    <row r="464" spans="1:1">
      <c r="A464" s="22" t="s">
        <v>1127</v>
      </c>
    </row>
    <row r="465" spans="1:1">
      <c r="A465" s="22" t="s">
        <v>1128</v>
      </c>
    </row>
    <row r="466" spans="1:1">
      <c r="A466" s="22" t="s">
        <v>1129</v>
      </c>
    </row>
    <row r="467" spans="1:1">
      <c r="A467" s="22" t="s">
        <v>1130</v>
      </c>
    </row>
    <row r="468" spans="1:1">
      <c r="A468" s="22" t="s">
        <v>1141</v>
      </c>
    </row>
    <row r="469" spans="1:1">
      <c r="A469" s="22" t="s">
        <v>1142</v>
      </c>
    </row>
    <row r="470" spans="1:1">
      <c r="A470" s="22" t="s">
        <v>1143</v>
      </c>
    </row>
    <row r="471" spans="1:1">
      <c r="A471" s="22" t="s">
        <v>1134</v>
      </c>
    </row>
    <row r="472" spans="1:1">
      <c r="A472" s="22" t="s">
        <v>1128</v>
      </c>
    </row>
    <row r="473" spans="1:1">
      <c r="A473" s="22" t="s">
        <v>1144</v>
      </c>
    </row>
    <row r="474" spans="1:1">
      <c r="A474" s="22" t="s">
        <v>1145</v>
      </c>
    </row>
    <row r="475" spans="1:1">
      <c r="A475" s="22" t="s">
        <v>1146</v>
      </c>
    </row>
    <row r="476" spans="1:1">
      <c r="A476" s="22" t="s">
        <v>1147</v>
      </c>
    </row>
    <row r="477" spans="1:1">
      <c r="A477" s="22" t="s">
        <v>1148</v>
      </c>
    </row>
    <row r="478" spans="1:1">
      <c r="A478" s="22" t="s">
        <v>1149</v>
      </c>
    </row>
    <row r="479" spans="1:1">
      <c r="A479" s="22" t="s">
        <v>1128</v>
      </c>
    </row>
    <row r="480" spans="1:1">
      <c r="A480" s="22" t="s">
        <v>1135</v>
      </c>
    </row>
    <row r="481" spans="1:1">
      <c r="A481" s="22" t="s">
        <v>1126</v>
      </c>
    </row>
    <row r="482" spans="1:1">
      <c r="A482" s="22" t="s">
        <v>1136</v>
      </c>
    </row>
    <row r="483" spans="1:1">
      <c r="A483" s="22" t="s">
        <v>1150</v>
      </c>
    </row>
    <row r="484" spans="1:1">
      <c r="A484" s="22" t="s">
        <v>1151</v>
      </c>
    </row>
    <row r="485" spans="1:1">
      <c r="A485" s="22" t="s">
        <v>1152</v>
      </c>
    </row>
    <row r="486" spans="1:1">
      <c r="A486" s="22" t="s">
        <v>1153</v>
      </c>
    </row>
    <row r="487" spans="1:1">
      <c r="A487" s="22" t="s">
        <v>1154</v>
      </c>
    </row>
    <row r="488" spans="1:1">
      <c r="A488" s="22" t="s">
        <v>1125</v>
      </c>
    </row>
    <row r="489" spans="1:1">
      <c r="A489" s="22" t="s">
        <v>1126</v>
      </c>
    </row>
    <row r="490" spans="1:1">
      <c r="A490" s="22" t="s">
        <v>1127</v>
      </c>
    </row>
    <row r="491" spans="1:1">
      <c r="A491" s="22" t="s">
        <v>1128</v>
      </c>
    </row>
    <row r="492" spans="1:1">
      <c r="A492" s="22" t="s">
        <v>1129</v>
      </c>
    </row>
    <row r="493" spans="1:1">
      <c r="A493" s="22" t="s">
        <v>1130</v>
      </c>
    </row>
    <row r="494" spans="1:1">
      <c r="A494" s="22" t="s">
        <v>1155</v>
      </c>
    </row>
    <row r="495" spans="1:1">
      <c r="A495" s="22" t="s">
        <v>1156</v>
      </c>
    </row>
    <row r="496" spans="1:1">
      <c r="A496" s="22" t="s">
        <v>1157</v>
      </c>
    </row>
    <row r="497" spans="1:1">
      <c r="A497" s="22" t="s">
        <v>1134</v>
      </c>
    </row>
    <row r="498" spans="1:1">
      <c r="A498" s="22" t="s">
        <v>1128</v>
      </c>
    </row>
    <row r="499" spans="1:1">
      <c r="A499" s="22" t="s">
        <v>1135</v>
      </c>
    </row>
    <row r="500" spans="1:1">
      <c r="A500" s="22" t="s">
        <v>1126</v>
      </c>
    </row>
    <row r="501" spans="1:1">
      <c r="A501" s="22" t="s">
        <v>1136</v>
      </c>
    </row>
    <row r="502" spans="1:1">
      <c r="A502" s="22" t="s">
        <v>1158</v>
      </c>
    </row>
    <row r="503" spans="1:1">
      <c r="A503" s="22" t="s">
        <v>1159</v>
      </c>
    </row>
    <row r="504" spans="1:1">
      <c r="A504" s="22" t="s">
        <v>1160</v>
      </c>
    </row>
    <row r="505" spans="1:1">
      <c r="A505" s="22" t="s">
        <v>1161</v>
      </c>
    </row>
    <row r="506" spans="1:1">
      <c r="A506" s="22" t="s">
        <v>1162</v>
      </c>
    </row>
    <row r="507" spans="1:1">
      <c r="A507" s="22" t="s">
        <v>882</v>
      </c>
    </row>
    <row r="508" spans="1:1">
      <c r="A508" s="24"/>
    </row>
    <row r="509" spans="1:1">
      <c r="A509" s="22" t="s">
        <v>1163</v>
      </c>
    </row>
    <row r="510" spans="1:1">
      <c r="A510" s="24"/>
    </row>
    <row r="511" spans="1:1">
      <c r="A511" s="22" t="s">
        <v>1164</v>
      </c>
    </row>
    <row r="512" spans="1:1">
      <c r="A512" s="22" t="s">
        <v>833</v>
      </c>
    </row>
    <row r="513" spans="1:6">
      <c r="A513" s="28" t="s">
        <v>834</v>
      </c>
      <c r="B513" s="29"/>
      <c r="C513" s="29"/>
      <c r="D513" s="29"/>
      <c r="E513" s="29"/>
      <c r="F513" s="29"/>
    </row>
    <row r="514" spans="1:6">
      <c r="A514" s="28" t="s">
        <v>835</v>
      </c>
      <c r="B514" s="29"/>
      <c r="C514" s="29"/>
      <c r="D514" s="29"/>
      <c r="E514" s="29"/>
      <c r="F514" s="29"/>
    </row>
    <row r="515" spans="1:6">
      <c r="A515" s="22" t="s">
        <v>836</v>
      </c>
    </row>
    <row r="516" spans="1:6">
      <c r="A516" s="22" t="s">
        <v>837</v>
      </c>
    </row>
    <row r="517" spans="1:6">
      <c r="A517" s="22" t="s">
        <v>838</v>
      </c>
    </row>
    <row r="518" spans="1:6">
      <c r="A518" s="22" t="s">
        <v>839</v>
      </c>
    </row>
    <row r="519" spans="1:6">
      <c r="A519" s="22" t="s">
        <v>840</v>
      </c>
    </row>
    <row r="520" spans="1:6">
      <c r="A520" s="22" t="s">
        <v>841</v>
      </c>
    </row>
    <row r="521" spans="1:6">
      <c r="A521" s="22" t="s">
        <v>842</v>
      </c>
    </row>
    <row r="522" spans="1:6">
      <c r="A522" s="22" t="s">
        <v>843</v>
      </c>
    </row>
    <row r="523" spans="1:6">
      <c r="A523" s="22" t="s">
        <v>844</v>
      </c>
    </row>
    <row r="524" spans="1:6">
      <c r="A524" s="22" t="s">
        <v>845</v>
      </c>
    </row>
    <row r="525" spans="1:6">
      <c r="A525" s="22" t="s">
        <v>846</v>
      </c>
    </row>
    <row r="526" spans="1:6">
      <c r="A526" s="22" t="s">
        <v>1165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AC209-399B-46DE-A186-E777887E2AAF}">
  <dimension ref="A1:I112"/>
  <sheetViews>
    <sheetView topLeftCell="A85" workbookViewId="0">
      <selection activeCell="A95" sqref="A95"/>
    </sheetView>
  </sheetViews>
  <sheetFormatPr baseColWidth="10" defaultRowHeight="14.4"/>
  <cols>
    <col min="1" max="1" width="91.5546875" bestFit="1" customWidth="1"/>
    <col min="2" max="2" width="63.21875" bestFit="1" customWidth="1"/>
  </cols>
  <sheetData>
    <row r="1" spans="1:9">
      <c r="A1" t="s">
        <v>1166</v>
      </c>
      <c r="B1" s="23" t="s">
        <v>1167</v>
      </c>
      <c r="C1" s="23" t="s">
        <v>1186</v>
      </c>
      <c r="D1" s="23"/>
      <c r="E1" s="23"/>
      <c r="F1" s="23"/>
      <c r="G1" s="23"/>
      <c r="H1" s="23"/>
      <c r="I1" s="23"/>
    </row>
    <row r="2" spans="1:9">
      <c r="A2" s="28" t="s">
        <v>1068</v>
      </c>
      <c r="B2" s="28" t="s">
        <v>1061</v>
      </c>
      <c r="C2" s="29">
        <v>1</v>
      </c>
      <c r="D2" s="29"/>
      <c r="E2" s="29"/>
      <c r="F2" s="29"/>
      <c r="G2" s="29"/>
      <c r="H2" s="23"/>
      <c r="I2" s="23"/>
    </row>
    <row r="3" spans="1:9">
      <c r="A3" s="28" t="s">
        <v>1069</v>
      </c>
      <c r="B3" s="28" t="s">
        <v>1061</v>
      </c>
      <c r="C3" s="29">
        <v>1</v>
      </c>
      <c r="D3" s="29"/>
      <c r="E3" s="29"/>
      <c r="F3" s="29"/>
      <c r="G3" s="29"/>
      <c r="H3" s="23"/>
      <c r="I3" s="23"/>
    </row>
    <row r="4" spans="1:9">
      <c r="A4" s="28" t="s">
        <v>863</v>
      </c>
      <c r="B4" s="22" t="s">
        <v>852</v>
      </c>
      <c r="C4" s="29">
        <v>2</v>
      </c>
      <c r="D4" s="29"/>
      <c r="E4" s="29"/>
      <c r="F4" s="29"/>
      <c r="G4" s="29"/>
      <c r="H4" s="23"/>
      <c r="I4" s="23"/>
    </row>
    <row r="5" spans="1:9">
      <c r="A5" s="28" t="s">
        <v>864</v>
      </c>
      <c r="B5" s="22" t="s">
        <v>852</v>
      </c>
      <c r="C5" s="29">
        <v>2</v>
      </c>
      <c r="D5" s="29"/>
      <c r="E5" s="29"/>
      <c r="F5" s="29"/>
      <c r="G5" s="29"/>
      <c r="H5" s="23"/>
      <c r="I5" s="23"/>
    </row>
    <row r="6" spans="1:9">
      <c r="A6" s="28" t="s">
        <v>865</v>
      </c>
      <c r="B6" s="22" t="s">
        <v>852</v>
      </c>
      <c r="C6" s="29">
        <v>2</v>
      </c>
      <c r="D6" s="29"/>
      <c r="E6" s="29"/>
      <c r="F6" s="29"/>
      <c r="G6" s="29"/>
      <c r="H6" s="23"/>
      <c r="I6" s="23"/>
    </row>
    <row r="7" spans="1:9">
      <c r="A7" s="28" t="s">
        <v>866</v>
      </c>
      <c r="B7" s="22" t="s">
        <v>852</v>
      </c>
      <c r="C7" s="29">
        <v>2</v>
      </c>
      <c r="D7" s="29"/>
      <c r="E7" s="29"/>
      <c r="F7" s="29"/>
      <c r="G7" s="29"/>
      <c r="H7" s="23"/>
      <c r="I7" s="23"/>
    </row>
    <row r="8" spans="1:9">
      <c r="A8" s="28" t="s">
        <v>867</v>
      </c>
      <c r="B8" s="22" t="s">
        <v>852</v>
      </c>
      <c r="C8" s="29">
        <v>2</v>
      </c>
      <c r="D8" s="29"/>
      <c r="E8" s="29"/>
      <c r="F8" s="29"/>
      <c r="G8" s="29"/>
      <c r="H8" s="23"/>
      <c r="I8" s="23"/>
    </row>
    <row r="9" spans="1:9">
      <c r="A9" s="28" t="s">
        <v>868</v>
      </c>
      <c r="B9" s="22" t="s">
        <v>852</v>
      </c>
      <c r="C9" s="29">
        <v>2</v>
      </c>
      <c r="D9" s="29"/>
      <c r="E9" s="29"/>
      <c r="F9" s="29"/>
      <c r="G9" s="29"/>
      <c r="H9" s="23"/>
      <c r="I9" s="23"/>
    </row>
    <row r="10" spans="1:9">
      <c r="A10" s="28" t="s">
        <v>869</v>
      </c>
      <c r="B10" s="22" t="s">
        <v>852</v>
      </c>
      <c r="C10" s="29">
        <v>2</v>
      </c>
      <c r="D10" s="29"/>
      <c r="E10" s="29"/>
      <c r="F10" s="29"/>
      <c r="G10" s="29"/>
      <c r="H10" s="23"/>
      <c r="I10" s="23"/>
    </row>
    <row r="11" spans="1:9">
      <c r="A11" s="28" t="s">
        <v>870</v>
      </c>
      <c r="B11" s="22" t="s">
        <v>852</v>
      </c>
      <c r="C11" s="29">
        <v>2</v>
      </c>
      <c r="D11" s="29"/>
      <c r="E11" s="29"/>
      <c r="F11" s="29"/>
      <c r="G11" s="29"/>
      <c r="H11" s="23"/>
      <c r="I11" s="23"/>
    </row>
    <row r="12" spans="1:9">
      <c r="A12" s="28" t="s">
        <v>871</v>
      </c>
      <c r="B12" s="22" t="s">
        <v>852</v>
      </c>
      <c r="C12" s="29">
        <v>2</v>
      </c>
      <c r="D12" s="29"/>
      <c r="E12" s="29"/>
      <c r="F12" s="29"/>
      <c r="G12" s="29"/>
      <c r="H12" s="23"/>
      <c r="I12" s="23"/>
    </row>
    <row r="13" spans="1:9">
      <c r="A13" s="28" t="s">
        <v>872</v>
      </c>
      <c r="B13" s="22" t="s">
        <v>852</v>
      </c>
      <c r="C13" s="29">
        <v>2</v>
      </c>
      <c r="D13" s="29"/>
      <c r="E13" s="29"/>
      <c r="F13" s="29"/>
      <c r="G13" s="29"/>
      <c r="H13" s="23"/>
      <c r="I13" s="23"/>
    </row>
    <row r="14" spans="1:9">
      <c r="A14" s="28" t="s">
        <v>873</v>
      </c>
      <c r="B14" s="22" t="s">
        <v>852</v>
      </c>
      <c r="C14" s="29">
        <v>2</v>
      </c>
      <c r="D14" s="23"/>
      <c r="E14" s="23"/>
      <c r="F14" s="23"/>
      <c r="G14" s="23"/>
      <c r="H14" s="23"/>
      <c r="I14" s="23"/>
    </row>
    <row r="15" spans="1:9">
      <c r="A15" s="28" t="s">
        <v>874</v>
      </c>
      <c r="B15" s="22" t="s">
        <v>852</v>
      </c>
      <c r="C15" s="29">
        <v>2</v>
      </c>
      <c r="D15" s="23"/>
      <c r="E15" s="23"/>
      <c r="F15" s="23"/>
      <c r="G15" s="23"/>
      <c r="H15" s="23"/>
      <c r="I15" s="23"/>
    </row>
    <row r="16" spans="1:9">
      <c r="A16" s="35" t="s">
        <v>875</v>
      </c>
      <c r="B16" s="35" t="s">
        <v>852</v>
      </c>
      <c r="C16" s="29">
        <v>2</v>
      </c>
      <c r="D16" s="23"/>
      <c r="E16" s="23"/>
      <c r="F16" s="23"/>
      <c r="G16" s="23"/>
      <c r="H16" s="23"/>
      <c r="I16" s="23"/>
    </row>
    <row r="17" spans="1:9">
      <c r="A17" s="22" t="s">
        <v>1037</v>
      </c>
      <c r="B17" s="22" t="s">
        <v>1031</v>
      </c>
      <c r="C17" s="23">
        <v>3</v>
      </c>
      <c r="D17" s="23"/>
      <c r="E17" s="23"/>
      <c r="F17" s="23"/>
      <c r="G17" s="23"/>
      <c r="H17" s="23"/>
      <c r="I17" s="23"/>
    </row>
    <row r="18" spans="1:9">
      <c r="A18" s="22" t="s">
        <v>893</v>
      </c>
      <c r="B18" s="23" t="s">
        <v>885</v>
      </c>
      <c r="C18" s="23">
        <v>4</v>
      </c>
      <c r="D18" s="23"/>
      <c r="E18" s="23"/>
      <c r="F18" s="23"/>
      <c r="G18" s="23"/>
      <c r="H18" s="23"/>
      <c r="I18" s="23"/>
    </row>
    <row r="19" spans="1:9">
      <c r="A19" s="22" t="s">
        <v>894</v>
      </c>
      <c r="B19" s="23" t="s">
        <v>885</v>
      </c>
      <c r="C19" s="23">
        <v>4</v>
      </c>
      <c r="D19" s="23"/>
      <c r="E19" s="23"/>
      <c r="F19" s="23"/>
      <c r="G19" s="23"/>
      <c r="H19" s="23"/>
      <c r="I19" s="23"/>
    </row>
    <row r="20" spans="1:9">
      <c r="A20" s="22" t="s">
        <v>895</v>
      </c>
      <c r="B20" s="23" t="s">
        <v>885</v>
      </c>
      <c r="C20" s="23">
        <v>4</v>
      </c>
      <c r="D20" s="23"/>
      <c r="E20" s="23"/>
      <c r="F20" s="23"/>
      <c r="G20" s="23"/>
      <c r="H20" s="23"/>
      <c r="I20" s="23"/>
    </row>
    <row r="21" spans="1:9">
      <c r="A21" s="22" t="s">
        <v>896</v>
      </c>
      <c r="B21" s="23" t="s">
        <v>885</v>
      </c>
      <c r="C21" s="23">
        <v>4</v>
      </c>
      <c r="D21" s="23"/>
      <c r="E21" s="23"/>
      <c r="F21" s="23"/>
      <c r="G21" s="23"/>
      <c r="H21" s="23"/>
      <c r="I21" s="23"/>
    </row>
    <row r="22" spans="1:9">
      <c r="A22" s="22" t="s">
        <v>897</v>
      </c>
      <c r="B22" s="23" t="s">
        <v>885</v>
      </c>
      <c r="C22" s="23">
        <v>4</v>
      </c>
      <c r="D22" s="23"/>
      <c r="E22" s="23"/>
      <c r="F22" s="23"/>
      <c r="G22" s="23"/>
      <c r="H22" s="23"/>
      <c r="I22" s="23"/>
    </row>
    <row r="23" spans="1:9">
      <c r="A23" s="22" t="s">
        <v>898</v>
      </c>
      <c r="B23" s="23" t="s">
        <v>885</v>
      </c>
      <c r="C23" s="23">
        <v>4</v>
      </c>
      <c r="D23" s="23"/>
      <c r="E23" s="23"/>
      <c r="F23" s="23"/>
      <c r="G23" s="23"/>
      <c r="H23" s="23"/>
      <c r="I23" s="23"/>
    </row>
    <row r="24" spans="1:9">
      <c r="A24" s="22" t="s">
        <v>899</v>
      </c>
      <c r="B24" s="23" t="s">
        <v>885</v>
      </c>
      <c r="C24" s="23">
        <v>4</v>
      </c>
      <c r="D24" s="23"/>
      <c r="E24" s="23"/>
      <c r="F24" s="23"/>
      <c r="G24" s="23"/>
      <c r="H24" s="23"/>
      <c r="I24" s="23"/>
    </row>
    <row r="25" spans="1:9">
      <c r="A25" s="22" t="s">
        <v>900</v>
      </c>
      <c r="B25" s="23" t="s">
        <v>885</v>
      </c>
      <c r="C25" s="23">
        <v>4</v>
      </c>
      <c r="D25" s="23"/>
      <c r="E25" s="23"/>
      <c r="F25" s="23"/>
      <c r="G25" s="23"/>
      <c r="H25" s="23"/>
      <c r="I25" s="23"/>
    </row>
    <row r="26" spans="1:9">
      <c r="A26" s="22" t="s">
        <v>901</v>
      </c>
      <c r="B26" s="23" t="s">
        <v>885</v>
      </c>
      <c r="C26" s="23">
        <v>4</v>
      </c>
      <c r="D26" s="23"/>
      <c r="E26" s="23"/>
      <c r="F26" s="23"/>
      <c r="G26" s="23"/>
      <c r="H26" s="23"/>
      <c r="I26" s="23"/>
    </row>
    <row r="27" spans="1:9">
      <c r="A27" s="22" t="s">
        <v>902</v>
      </c>
      <c r="B27" s="23" t="s">
        <v>885</v>
      </c>
      <c r="C27" s="23">
        <v>4</v>
      </c>
      <c r="D27" s="23"/>
      <c r="E27" s="23"/>
      <c r="F27" s="23"/>
      <c r="G27" s="23"/>
      <c r="H27" s="23"/>
      <c r="I27" s="23"/>
    </row>
    <row r="28" spans="1:9">
      <c r="A28" s="22" t="s">
        <v>903</v>
      </c>
      <c r="B28" s="23" t="s">
        <v>885</v>
      </c>
      <c r="C28" s="23">
        <v>4</v>
      </c>
      <c r="D28" s="34"/>
      <c r="E28" s="34"/>
      <c r="F28" s="34"/>
      <c r="G28" s="34"/>
      <c r="H28" s="34"/>
      <c r="I28" s="23"/>
    </row>
    <row r="29" spans="1:9">
      <c r="A29" s="22" t="s">
        <v>904</v>
      </c>
      <c r="B29" s="23" t="s">
        <v>885</v>
      </c>
      <c r="C29" s="23">
        <v>4</v>
      </c>
      <c r="D29" s="34"/>
      <c r="E29" s="34"/>
      <c r="F29" s="34"/>
      <c r="G29" s="34"/>
      <c r="H29" s="34"/>
      <c r="I29" s="23"/>
    </row>
    <row r="30" spans="1:9">
      <c r="A30" s="22" t="s">
        <v>905</v>
      </c>
      <c r="B30" s="23" t="s">
        <v>885</v>
      </c>
      <c r="C30" s="23">
        <v>4</v>
      </c>
      <c r="D30" s="34"/>
      <c r="E30" s="34"/>
      <c r="F30" s="34"/>
      <c r="G30" s="34"/>
      <c r="H30" s="34"/>
      <c r="I30" s="23"/>
    </row>
    <row r="31" spans="1:9">
      <c r="A31" s="22" t="s">
        <v>987</v>
      </c>
      <c r="B31" s="22" t="s">
        <v>974</v>
      </c>
      <c r="C31" s="23">
        <v>5</v>
      </c>
      <c r="D31" s="34"/>
      <c r="E31" s="34"/>
      <c r="F31" s="34"/>
      <c r="G31" s="34"/>
      <c r="H31" s="34"/>
      <c r="I31" s="23"/>
    </row>
    <row r="32" spans="1:9">
      <c r="A32" s="22" t="s">
        <v>988</v>
      </c>
      <c r="B32" s="22" t="s">
        <v>974</v>
      </c>
      <c r="C32" s="23">
        <v>5</v>
      </c>
      <c r="D32" s="34"/>
      <c r="E32" s="34"/>
      <c r="F32" s="34"/>
      <c r="G32" s="34"/>
      <c r="H32" s="34"/>
      <c r="I32" s="23"/>
    </row>
    <row r="33" spans="1:9">
      <c r="A33" s="22" t="s">
        <v>989</v>
      </c>
      <c r="B33" s="22" t="s">
        <v>974</v>
      </c>
      <c r="C33" s="23">
        <v>5</v>
      </c>
      <c r="D33" s="34"/>
      <c r="E33" s="34"/>
      <c r="F33" s="34"/>
      <c r="G33" s="34"/>
      <c r="H33" s="34"/>
      <c r="I33" s="23"/>
    </row>
    <row r="34" spans="1:9">
      <c r="A34" s="22" t="s">
        <v>990</v>
      </c>
      <c r="B34" s="22" t="s">
        <v>974</v>
      </c>
      <c r="C34" s="23">
        <v>5</v>
      </c>
      <c r="D34" s="34"/>
      <c r="E34" s="34"/>
      <c r="F34" s="34"/>
      <c r="G34" s="34"/>
      <c r="H34" s="34"/>
      <c r="I34" s="23"/>
    </row>
    <row r="35" spans="1:9">
      <c r="A35" s="22" t="s">
        <v>991</v>
      </c>
      <c r="B35" s="22" t="s">
        <v>974</v>
      </c>
      <c r="C35" s="23">
        <v>5</v>
      </c>
      <c r="D35" s="34"/>
      <c r="E35" s="34"/>
      <c r="F35" s="34"/>
      <c r="G35" s="34"/>
      <c r="H35" s="34"/>
      <c r="I35" s="23"/>
    </row>
    <row r="36" spans="1:9">
      <c r="A36" s="22" t="s">
        <v>992</v>
      </c>
      <c r="B36" s="22" t="s">
        <v>974</v>
      </c>
      <c r="C36" s="23">
        <v>5</v>
      </c>
      <c r="D36" s="23"/>
      <c r="E36" s="23"/>
      <c r="F36" s="23"/>
      <c r="G36" s="23"/>
      <c r="H36" s="23"/>
      <c r="I36" s="23"/>
    </row>
    <row r="37" spans="1:9">
      <c r="A37" s="22" t="s">
        <v>993</v>
      </c>
      <c r="B37" s="22" t="s">
        <v>974</v>
      </c>
      <c r="C37" s="23">
        <v>5</v>
      </c>
      <c r="D37" s="23"/>
      <c r="E37" s="23"/>
      <c r="F37" s="23"/>
      <c r="G37" s="23"/>
      <c r="H37" s="23"/>
      <c r="I37" s="23"/>
    </row>
    <row r="38" spans="1:9">
      <c r="A38" s="22" t="s">
        <v>994</v>
      </c>
      <c r="B38" s="22" t="s">
        <v>974</v>
      </c>
      <c r="C38" s="23">
        <v>5</v>
      </c>
      <c r="D38" s="23"/>
      <c r="E38" s="23"/>
      <c r="F38" s="23"/>
      <c r="G38" s="23"/>
      <c r="H38" s="23"/>
      <c r="I38" s="23"/>
    </row>
    <row r="39" spans="1:9">
      <c r="A39" s="22" t="s">
        <v>995</v>
      </c>
      <c r="B39" s="22" t="s">
        <v>974</v>
      </c>
      <c r="C39" s="23">
        <v>5</v>
      </c>
      <c r="D39" s="23"/>
      <c r="E39" s="23"/>
      <c r="F39" s="23"/>
      <c r="G39" s="23"/>
      <c r="H39" s="23"/>
      <c r="I39" s="23"/>
    </row>
    <row r="40" spans="1:9">
      <c r="A40" s="22" t="s">
        <v>996</v>
      </c>
      <c r="B40" s="22" t="s">
        <v>974</v>
      </c>
      <c r="C40" s="23">
        <v>5</v>
      </c>
      <c r="D40" s="23"/>
      <c r="E40" s="23"/>
      <c r="F40" s="23"/>
      <c r="G40" s="23"/>
      <c r="H40" s="23"/>
      <c r="I40" s="23"/>
    </row>
    <row r="41" spans="1:9">
      <c r="A41" s="22" t="s">
        <v>997</v>
      </c>
      <c r="B41" s="22" t="s">
        <v>974</v>
      </c>
      <c r="C41" s="23">
        <v>5</v>
      </c>
      <c r="D41" s="23"/>
      <c r="E41" s="23"/>
      <c r="F41" s="23"/>
      <c r="G41" s="23"/>
      <c r="H41" s="23"/>
      <c r="I41" s="23"/>
    </row>
    <row r="42" spans="1:9">
      <c r="A42" s="22" t="s">
        <v>998</v>
      </c>
      <c r="B42" s="22" t="s">
        <v>974</v>
      </c>
      <c r="C42" s="23">
        <v>5</v>
      </c>
      <c r="D42" s="23"/>
      <c r="E42" s="23"/>
      <c r="F42" s="23"/>
      <c r="G42" s="23"/>
      <c r="H42" s="23"/>
      <c r="I42" s="23"/>
    </row>
    <row r="43" spans="1:9">
      <c r="A43" s="22" t="s">
        <v>999</v>
      </c>
      <c r="B43" s="22" t="s">
        <v>974</v>
      </c>
      <c r="C43" s="23">
        <v>5</v>
      </c>
      <c r="D43" s="23"/>
      <c r="E43" s="23"/>
      <c r="F43" s="23"/>
      <c r="G43" s="23"/>
      <c r="H43" s="23"/>
      <c r="I43" s="23"/>
    </row>
    <row r="44" spans="1:9">
      <c r="A44" s="22" t="s">
        <v>1000</v>
      </c>
      <c r="B44" s="22" t="s">
        <v>974</v>
      </c>
      <c r="C44" s="23">
        <v>5</v>
      </c>
      <c r="D44" s="23"/>
      <c r="E44" s="23"/>
      <c r="F44" s="23"/>
      <c r="G44" s="23"/>
      <c r="H44" s="23"/>
      <c r="I44" s="23"/>
    </row>
    <row r="45" spans="1:9">
      <c r="A45" s="22" t="s">
        <v>1001</v>
      </c>
      <c r="B45" s="22" t="s">
        <v>974</v>
      </c>
      <c r="C45" s="23">
        <v>5</v>
      </c>
      <c r="D45" s="23"/>
      <c r="E45" s="23"/>
      <c r="F45" s="23"/>
      <c r="G45" s="23"/>
      <c r="H45" s="23"/>
      <c r="I45" s="23"/>
    </row>
    <row r="46" spans="1:9">
      <c r="A46" s="22" t="s">
        <v>1002</v>
      </c>
      <c r="B46" s="22" t="s">
        <v>974</v>
      </c>
      <c r="C46" s="23">
        <v>5</v>
      </c>
      <c r="D46" s="23"/>
      <c r="E46" s="23"/>
      <c r="F46" s="23"/>
      <c r="G46" s="23"/>
      <c r="H46" s="23"/>
      <c r="I46" s="23"/>
    </row>
    <row r="47" spans="1:9">
      <c r="A47" s="26" t="s">
        <v>919</v>
      </c>
      <c r="B47" s="22" t="s">
        <v>911</v>
      </c>
      <c r="C47" s="34">
        <v>6</v>
      </c>
      <c r="D47" s="23"/>
      <c r="E47" s="23"/>
      <c r="F47" s="23"/>
      <c r="G47" s="23"/>
      <c r="H47" s="23"/>
      <c r="I47" s="23"/>
    </row>
    <row r="48" spans="1:9">
      <c r="A48" s="26" t="s">
        <v>920</v>
      </c>
      <c r="B48" s="22" t="s">
        <v>911</v>
      </c>
      <c r="C48" s="34">
        <v>6</v>
      </c>
      <c r="D48" s="23"/>
      <c r="E48" s="23"/>
      <c r="F48" s="23"/>
      <c r="G48" s="23"/>
      <c r="H48" s="23"/>
      <c r="I48" s="23"/>
    </row>
    <row r="49" spans="1:9">
      <c r="A49" s="26" t="s">
        <v>921</v>
      </c>
      <c r="B49" s="22" t="s">
        <v>911</v>
      </c>
      <c r="C49" s="34">
        <v>6</v>
      </c>
      <c r="D49" s="23"/>
      <c r="E49" s="23"/>
      <c r="F49" s="23"/>
      <c r="G49" s="23"/>
      <c r="H49" s="23"/>
      <c r="I49" s="23"/>
    </row>
    <row r="50" spans="1:9">
      <c r="A50" s="26" t="s">
        <v>922</v>
      </c>
      <c r="B50" s="22" t="s">
        <v>911</v>
      </c>
      <c r="C50" s="34">
        <v>6</v>
      </c>
      <c r="D50" s="23"/>
      <c r="E50" s="23"/>
      <c r="F50" s="23"/>
      <c r="G50" s="23"/>
      <c r="H50" s="23"/>
      <c r="I50" s="23"/>
    </row>
    <row r="51" spans="1:9">
      <c r="A51" s="26" t="s">
        <v>923</v>
      </c>
      <c r="B51" s="22" t="s">
        <v>911</v>
      </c>
      <c r="C51" s="34">
        <v>6</v>
      </c>
      <c r="D51" s="23"/>
      <c r="E51" s="23"/>
      <c r="F51" s="23"/>
      <c r="G51" s="23"/>
      <c r="H51" s="23"/>
      <c r="I51" s="23"/>
    </row>
    <row r="52" spans="1:9">
      <c r="A52" s="26" t="s">
        <v>924</v>
      </c>
      <c r="B52" s="22" t="s">
        <v>911</v>
      </c>
      <c r="C52" s="34">
        <v>6</v>
      </c>
      <c r="D52" s="23"/>
      <c r="E52" s="23"/>
      <c r="F52" s="23"/>
      <c r="G52" s="23"/>
      <c r="H52" s="23"/>
      <c r="I52" s="23"/>
    </row>
    <row r="53" spans="1:9">
      <c r="A53" s="26" t="s">
        <v>925</v>
      </c>
      <c r="B53" s="22" t="s">
        <v>911</v>
      </c>
      <c r="C53" s="34">
        <v>6</v>
      </c>
      <c r="D53" s="23"/>
      <c r="E53" s="23"/>
      <c r="F53" s="23"/>
      <c r="G53" s="23"/>
      <c r="H53" s="23"/>
      <c r="I53" s="23"/>
    </row>
    <row r="54" spans="1:9">
      <c r="A54" s="26" t="s">
        <v>926</v>
      </c>
      <c r="B54" s="22" t="s">
        <v>911</v>
      </c>
      <c r="C54" s="34">
        <v>6</v>
      </c>
      <c r="D54" s="23"/>
      <c r="E54" s="23"/>
      <c r="F54" s="23"/>
      <c r="G54" s="23"/>
      <c r="H54" s="23"/>
      <c r="I54" s="23"/>
    </row>
    <row r="55" spans="1:9">
      <c r="A55" s="22" t="s">
        <v>927</v>
      </c>
      <c r="B55" s="22" t="s">
        <v>911</v>
      </c>
      <c r="C55" s="34">
        <v>6</v>
      </c>
      <c r="D55" s="23"/>
      <c r="E55" s="23"/>
      <c r="F55" s="23"/>
      <c r="G55" s="23"/>
      <c r="H55" s="23"/>
      <c r="I55" s="23"/>
    </row>
    <row r="56" spans="1:9">
      <c r="A56" s="22" t="s">
        <v>938</v>
      </c>
      <c r="B56" s="22" t="s">
        <v>933</v>
      </c>
      <c r="C56" s="23">
        <v>7</v>
      </c>
      <c r="D56" s="23"/>
      <c r="E56" s="23"/>
      <c r="F56" s="23"/>
      <c r="G56" s="23"/>
      <c r="H56" s="23"/>
      <c r="I56" s="23"/>
    </row>
    <row r="57" spans="1:9">
      <c r="A57" s="22" t="s">
        <v>939</v>
      </c>
      <c r="B57" s="22" t="s">
        <v>933</v>
      </c>
      <c r="C57" s="23">
        <v>7</v>
      </c>
      <c r="D57" s="23"/>
      <c r="E57" s="23"/>
      <c r="F57" s="23"/>
      <c r="G57" s="23"/>
      <c r="H57" s="23"/>
      <c r="I57" s="23"/>
    </row>
    <row r="58" spans="1:9">
      <c r="A58" s="22" t="s">
        <v>940</v>
      </c>
      <c r="B58" s="22" t="s">
        <v>933</v>
      </c>
      <c r="C58" s="23">
        <v>7</v>
      </c>
      <c r="D58" s="23"/>
      <c r="E58" s="23"/>
      <c r="F58" s="23"/>
      <c r="G58" s="23"/>
      <c r="H58" s="23"/>
      <c r="I58" s="23"/>
    </row>
    <row r="59" spans="1:9">
      <c r="A59" s="22" t="s">
        <v>941</v>
      </c>
      <c r="B59" s="22" t="s">
        <v>933</v>
      </c>
      <c r="C59" s="23">
        <v>7</v>
      </c>
      <c r="D59" s="23"/>
      <c r="E59" s="23"/>
      <c r="F59" s="23"/>
      <c r="G59" s="23"/>
      <c r="H59" s="23"/>
      <c r="I59" s="23"/>
    </row>
    <row r="60" spans="1:9">
      <c r="A60" s="22" t="s">
        <v>942</v>
      </c>
      <c r="B60" s="22" t="s">
        <v>933</v>
      </c>
      <c r="C60" s="23">
        <v>7</v>
      </c>
      <c r="D60" s="23"/>
      <c r="E60" s="23"/>
      <c r="F60" s="23"/>
      <c r="G60" s="23"/>
      <c r="H60" s="23"/>
      <c r="I60" s="23"/>
    </row>
    <row r="61" spans="1:9">
      <c r="A61" s="22" t="s">
        <v>943</v>
      </c>
      <c r="B61" s="22" t="s">
        <v>933</v>
      </c>
      <c r="C61" s="23">
        <v>7</v>
      </c>
      <c r="D61" s="23"/>
      <c r="E61" s="23"/>
      <c r="F61" s="23"/>
      <c r="G61" s="23"/>
      <c r="H61" s="23"/>
      <c r="I61" s="23"/>
    </row>
    <row r="62" spans="1:9">
      <c r="A62" s="22" t="s">
        <v>944</v>
      </c>
      <c r="B62" s="22" t="s">
        <v>933</v>
      </c>
      <c r="C62" s="23">
        <v>7</v>
      </c>
      <c r="D62" s="23"/>
      <c r="E62" s="23"/>
      <c r="F62" s="23"/>
      <c r="G62" s="23"/>
      <c r="H62" s="23"/>
      <c r="I62" s="23"/>
    </row>
    <row r="63" spans="1:9">
      <c r="A63" s="22" t="s">
        <v>945</v>
      </c>
      <c r="B63" s="22" t="s">
        <v>933</v>
      </c>
      <c r="C63" s="23">
        <v>7</v>
      </c>
      <c r="D63" s="23"/>
      <c r="E63" s="23"/>
      <c r="F63" s="23"/>
      <c r="G63" s="23"/>
      <c r="H63" s="23"/>
      <c r="I63" s="23"/>
    </row>
    <row r="64" spans="1:9">
      <c r="A64" s="22" t="s">
        <v>946</v>
      </c>
      <c r="B64" s="22" t="s">
        <v>933</v>
      </c>
      <c r="C64" s="23">
        <v>7</v>
      </c>
      <c r="D64" s="23"/>
      <c r="E64" s="23"/>
      <c r="F64" s="23"/>
      <c r="G64" s="23"/>
      <c r="H64" s="23"/>
      <c r="I64" s="23"/>
    </row>
    <row r="65" spans="1:9">
      <c r="A65" s="22" t="s">
        <v>947</v>
      </c>
      <c r="B65" s="22" t="s">
        <v>933</v>
      </c>
      <c r="C65" s="23">
        <v>7</v>
      </c>
      <c r="D65" s="23"/>
      <c r="E65" s="23"/>
      <c r="F65" s="23"/>
      <c r="G65" s="23"/>
      <c r="H65" s="23"/>
      <c r="I65" s="23"/>
    </row>
    <row r="66" spans="1:9">
      <c r="A66" s="22" t="s">
        <v>1017</v>
      </c>
      <c r="B66" s="22" t="s">
        <v>1008</v>
      </c>
      <c r="C66" s="23">
        <v>8</v>
      </c>
      <c r="D66" s="23"/>
      <c r="E66" s="23"/>
      <c r="F66" s="23"/>
      <c r="G66" s="23"/>
      <c r="H66" s="23"/>
      <c r="I66" s="23"/>
    </row>
    <row r="67" spans="1:9">
      <c r="A67" s="22" t="s">
        <v>1018</v>
      </c>
      <c r="B67" s="22" t="s">
        <v>1008</v>
      </c>
      <c r="C67" s="23">
        <v>8</v>
      </c>
      <c r="D67" s="23"/>
      <c r="E67" s="23"/>
      <c r="F67" s="23"/>
      <c r="G67" s="23"/>
      <c r="H67" s="23"/>
      <c r="I67" s="23"/>
    </row>
    <row r="68" spans="1:9">
      <c r="A68" s="22" t="s">
        <v>1019</v>
      </c>
      <c r="B68" s="22" t="s">
        <v>1008</v>
      </c>
      <c r="C68" s="23">
        <v>8</v>
      </c>
      <c r="D68" s="23"/>
      <c r="E68" s="23"/>
      <c r="F68" s="23"/>
      <c r="G68" s="23"/>
      <c r="H68" s="23"/>
      <c r="I68" s="23"/>
    </row>
    <row r="69" spans="1:9">
      <c r="A69" s="22" t="s">
        <v>1020</v>
      </c>
      <c r="B69" s="22" t="s">
        <v>1008</v>
      </c>
      <c r="C69" s="23">
        <v>8</v>
      </c>
      <c r="D69" s="23"/>
      <c r="E69" s="23"/>
      <c r="F69" s="23"/>
      <c r="G69" s="23"/>
      <c r="H69" s="23"/>
      <c r="I69" s="23"/>
    </row>
    <row r="70" spans="1:9">
      <c r="A70" s="22" t="s">
        <v>1021</v>
      </c>
      <c r="B70" s="22" t="s">
        <v>1008</v>
      </c>
      <c r="C70" s="23">
        <v>8</v>
      </c>
      <c r="D70" s="23"/>
      <c r="E70" s="23"/>
      <c r="F70" s="23"/>
      <c r="G70" s="23"/>
      <c r="H70" s="23"/>
      <c r="I70" s="23"/>
    </row>
    <row r="71" spans="1:9">
      <c r="A71" s="22" t="s">
        <v>1022</v>
      </c>
      <c r="B71" s="22" t="s">
        <v>1008</v>
      </c>
      <c r="C71" s="23">
        <v>8</v>
      </c>
      <c r="D71" s="23"/>
      <c r="E71" s="23"/>
      <c r="F71" s="23"/>
      <c r="G71" s="23"/>
      <c r="H71" s="23"/>
      <c r="I71" s="23"/>
    </row>
    <row r="72" spans="1:9">
      <c r="A72" s="22" t="s">
        <v>1023</v>
      </c>
      <c r="B72" s="22" t="s">
        <v>1008</v>
      </c>
      <c r="C72" s="23">
        <v>8</v>
      </c>
      <c r="D72" s="23"/>
      <c r="E72" s="23"/>
      <c r="F72" s="23"/>
      <c r="G72" s="23"/>
      <c r="H72" s="23"/>
      <c r="I72" s="23"/>
    </row>
    <row r="73" spans="1:9">
      <c r="A73" s="22" t="s">
        <v>1024</v>
      </c>
      <c r="B73" s="22" t="s">
        <v>1008</v>
      </c>
      <c r="C73" s="23">
        <v>8</v>
      </c>
      <c r="D73" s="23"/>
      <c r="E73" s="23"/>
      <c r="F73" s="23"/>
      <c r="G73" s="23"/>
      <c r="H73" s="23"/>
      <c r="I73" s="23"/>
    </row>
    <row r="74" spans="1:9">
      <c r="A74" s="22" t="s">
        <v>1025</v>
      </c>
      <c r="B74" s="22" t="s">
        <v>1008</v>
      </c>
      <c r="C74" s="23">
        <v>8</v>
      </c>
      <c r="D74" s="23"/>
      <c r="E74" s="23"/>
      <c r="F74" s="23"/>
      <c r="G74" s="23"/>
      <c r="H74" s="23"/>
      <c r="I74" s="23"/>
    </row>
    <row r="75" spans="1:9">
      <c r="A75" s="22" t="s">
        <v>927</v>
      </c>
      <c r="B75" s="22" t="s">
        <v>1008</v>
      </c>
      <c r="C75" s="23">
        <v>8</v>
      </c>
      <c r="D75" s="23"/>
      <c r="E75" s="23"/>
      <c r="F75" s="23"/>
      <c r="G75" s="23"/>
      <c r="H75" s="23"/>
      <c r="I75" s="23"/>
    </row>
    <row r="76" spans="1:9">
      <c r="A76" s="22" t="s">
        <v>961</v>
      </c>
      <c r="B76" s="22" t="s">
        <v>953</v>
      </c>
      <c r="C76" s="23">
        <v>9</v>
      </c>
      <c r="D76" s="23"/>
      <c r="E76" s="23"/>
      <c r="F76" s="23"/>
      <c r="G76" s="23"/>
      <c r="H76" s="23"/>
      <c r="I76" s="23"/>
    </row>
    <row r="77" spans="1:9">
      <c r="A77" s="22" t="s">
        <v>962</v>
      </c>
      <c r="B77" s="22" t="s">
        <v>953</v>
      </c>
      <c r="C77" s="23">
        <v>9</v>
      </c>
      <c r="D77" s="23"/>
      <c r="E77" s="23"/>
      <c r="F77" s="23"/>
      <c r="G77" s="23"/>
      <c r="H77" s="23"/>
      <c r="I77" s="23"/>
    </row>
    <row r="78" spans="1:9">
      <c r="A78" s="22" t="s">
        <v>963</v>
      </c>
      <c r="B78" s="22" t="s">
        <v>953</v>
      </c>
      <c r="C78" s="23">
        <v>9</v>
      </c>
      <c r="D78" s="23"/>
      <c r="E78" s="23"/>
      <c r="F78" s="23"/>
      <c r="G78" s="23"/>
      <c r="H78" s="23"/>
      <c r="I78" s="23"/>
    </row>
    <row r="79" spans="1:9">
      <c r="A79" s="22" t="s">
        <v>964</v>
      </c>
      <c r="B79" s="22" t="s">
        <v>953</v>
      </c>
      <c r="C79" s="23">
        <v>9</v>
      </c>
      <c r="D79" s="23"/>
      <c r="E79" s="23"/>
      <c r="F79" s="23"/>
      <c r="G79" s="23"/>
      <c r="H79" s="23"/>
      <c r="I79" s="23"/>
    </row>
    <row r="80" spans="1:9">
      <c r="A80" s="22" t="s">
        <v>965</v>
      </c>
      <c r="B80" s="22" t="s">
        <v>953</v>
      </c>
      <c r="C80" s="23">
        <v>9</v>
      </c>
      <c r="D80" s="23"/>
      <c r="E80" s="23"/>
      <c r="F80" s="23"/>
      <c r="G80" s="23"/>
      <c r="H80" s="23"/>
      <c r="I80" s="23"/>
    </row>
    <row r="81" spans="1:9">
      <c r="A81" s="22" t="s">
        <v>966</v>
      </c>
      <c r="B81" s="22" t="s">
        <v>953</v>
      </c>
      <c r="C81" s="23">
        <v>9</v>
      </c>
      <c r="D81" s="23"/>
      <c r="E81" s="23"/>
      <c r="F81" s="23"/>
      <c r="G81" s="23"/>
      <c r="H81" s="23"/>
      <c r="I81" s="23"/>
    </row>
    <row r="82" spans="1:9">
      <c r="A82" s="22" t="s">
        <v>967</v>
      </c>
      <c r="B82" s="22" t="s">
        <v>953</v>
      </c>
      <c r="C82" s="23">
        <v>9</v>
      </c>
      <c r="D82" s="23"/>
      <c r="E82" s="23"/>
      <c r="F82" s="23"/>
      <c r="G82" s="23"/>
      <c r="H82" s="23"/>
      <c r="I82" s="23"/>
    </row>
    <row r="83" spans="1:9">
      <c r="A83" s="22" t="s">
        <v>968</v>
      </c>
      <c r="B83" s="22" t="s">
        <v>953</v>
      </c>
      <c r="C83" s="23">
        <v>9</v>
      </c>
      <c r="D83" s="23"/>
      <c r="E83" s="23"/>
      <c r="F83" s="23"/>
      <c r="G83" s="23"/>
      <c r="H83" s="23"/>
      <c r="I83" s="23"/>
    </row>
    <row r="84" spans="1:9">
      <c r="A84" s="22" t="s">
        <v>1052</v>
      </c>
      <c r="B84" s="22" t="s">
        <v>1047</v>
      </c>
      <c r="C84" s="23">
        <v>10</v>
      </c>
      <c r="D84" s="23"/>
      <c r="E84" s="23"/>
      <c r="F84" s="23"/>
      <c r="G84" s="23"/>
      <c r="H84" s="23"/>
      <c r="I84" s="23"/>
    </row>
    <row r="85" spans="1:9">
      <c r="A85" s="22" t="s">
        <v>1053</v>
      </c>
      <c r="B85" s="22" t="s">
        <v>1047</v>
      </c>
      <c r="C85" s="23">
        <v>10</v>
      </c>
      <c r="D85" s="23"/>
      <c r="E85" s="23"/>
      <c r="F85" s="23"/>
      <c r="G85" s="23"/>
      <c r="H85" s="23"/>
      <c r="I85" s="23"/>
    </row>
    <row r="86" spans="1:9">
      <c r="A86" s="22" t="s">
        <v>1054</v>
      </c>
      <c r="B86" s="22" t="s">
        <v>1047</v>
      </c>
      <c r="C86" s="23">
        <v>10</v>
      </c>
      <c r="D86" s="23"/>
      <c r="E86" s="23"/>
      <c r="F86" s="23"/>
      <c r="G86" s="23"/>
      <c r="H86" s="23"/>
      <c r="I86" s="23"/>
    </row>
    <row r="87" spans="1:9">
      <c r="A87" s="22" t="s">
        <v>1055</v>
      </c>
      <c r="B87" s="22" t="s">
        <v>1047</v>
      </c>
      <c r="C87" s="23">
        <v>10</v>
      </c>
      <c r="D87" s="23"/>
      <c r="E87" s="23"/>
      <c r="F87" s="23"/>
      <c r="G87" s="23"/>
      <c r="H87" s="23"/>
      <c r="I87" s="23"/>
    </row>
    <row r="88" spans="1:9">
      <c r="A88" s="22" t="s">
        <v>1085</v>
      </c>
      <c r="B88" s="22" t="s">
        <v>1077</v>
      </c>
      <c r="C88" s="23">
        <v>11</v>
      </c>
      <c r="D88" s="23"/>
      <c r="E88" s="23"/>
      <c r="F88" s="23"/>
      <c r="G88" s="23"/>
      <c r="H88" s="23"/>
      <c r="I88" s="23"/>
    </row>
    <row r="89" spans="1:9">
      <c r="A89" s="22" t="s">
        <v>1086</v>
      </c>
      <c r="B89" s="22" t="s">
        <v>1077</v>
      </c>
      <c r="C89" s="23">
        <v>11</v>
      </c>
      <c r="D89" s="23"/>
      <c r="E89" s="23"/>
      <c r="F89" s="23"/>
      <c r="G89" s="23"/>
      <c r="H89" s="23"/>
      <c r="I89" s="23"/>
    </row>
    <row r="90" spans="1:9">
      <c r="A90" s="22" t="s">
        <v>1087</v>
      </c>
      <c r="B90" s="22" t="s">
        <v>1077</v>
      </c>
      <c r="C90" s="23">
        <v>11</v>
      </c>
      <c r="D90" s="23"/>
      <c r="E90" s="23"/>
      <c r="F90" s="23"/>
      <c r="G90" s="23"/>
      <c r="H90" s="23"/>
      <c r="I90" s="23"/>
    </row>
    <row r="91" spans="1:9">
      <c r="A91" s="22" t="s">
        <v>1088</v>
      </c>
      <c r="B91" s="22" t="s">
        <v>1077</v>
      </c>
      <c r="C91" s="23">
        <v>11</v>
      </c>
      <c r="D91" s="29"/>
      <c r="E91" s="29"/>
      <c r="F91" s="29"/>
      <c r="G91" s="29"/>
      <c r="H91" s="29"/>
      <c r="I91" s="23"/>
    </row>
    <row r="92" spans="1:9">
      <c r="A92" s="22" t="s">
        <v>1089</v>
      </c>
      <c r="B92" s="22" t="s">
        <v>1077</v>
      </c>
      <c r="C92" s="23">
        <v>11</v>
      </c>
      <c r="D92" s="29"/>
      <c r="E92" s="29"/>
      <c r="F92" s="29"/>
      <c r="G92" s="29"/>
      <c r="H92" s="29"/>
      <c r="I92" s="23"/>
    </row>
    <row r="93" spans="1:9">
      <c r="A93" s="22" t="s">
        <v>1090</v>
      </c>
      <c r="B93" s="22" t="s">
        <v>1077</v>
      </c>
      <c r="C93" s="23">
        <v>11</v>
      </c>
      <c r="D93" s="29"/>
      <c r="E93" s="29"/>
      <c r="F93" s="29"/>
      <c r="G93" s="29"/>
      <c r="H93" s="29"/>
      <c r="I93" s="23"/>
    </row>
    <row r="94" spans="1:9">
      <c r="A94" s="22" t="s">
        <v>1091</v>
      </c>
      <c r="B94" s="22" t="s">
        <v>1077</v>
      </c>
      <c r="C94" s="23">
        <v>11</v>
      </c>
      <c r="D94" s="29"/>
      <c r="E94" s="29"/>
      <c r="F94" s="29"/>
      <c r="G94" s="29"/>
      <c r="H94" s="29"/>
      <c r="I94" s="23"/>
    </row>
    <row r="95" spans="1:9">
      <c r="A95" s="22" t="s">
        <v>1092</v>
      </c>
      <c r="B95" s="22" t="s">
        <v>1077</v>
      </c>
      <c r="C95" s="23">
        <v>11</v>
      </c>
      <c r="D95" s="29"/>
      <c r="E95" s="29"/>
      <c r="F95" s="29"/>
      <c r="G95" s="29"/>
      <c r="H95" s="29"/>
      <c r="I95" s="23"/>
    </row>
    <row r="96" spans="1:9">
      <c r="A96" s="28" t="s">
        <v>1070</v>
      </c>
      <c r="B96" s="28" t="s">
        <v>1061</v>
      </c>
      <c r="C96" s="29">
        <v>12</v>
      </c>
      <c r="D96" s="23"/>
      <c r="E96" s="23"/>
      <c r="F96" s="23"/>
      <c r="G96" s="23"/>
      <c r="H96" s="23"/>
      <c r="I96" s="23"/>
    </row>
    <row r="97" spans="1:9">
      <c r="A97" s="28" t="s">
        <v>1071</v>
      </c>
      <c r="B97" s="28" t="s">
        <v>1061</v>
      </c>
      <c r="C97" s="29">
        <v>12</v>
      </c>
      <c r="D97" s="23"/>
      <c r="E97" s="23"/>
      <c r="F97" s="23"/>
      <c r="G97" s="23"/>
      <c r="H97" s="23"/>
      <c r="I97" s="23"/>
    </row>
    <row r="98" spans="1:9">
      <c r="A98" s="28" t="s">
        <v>1072</v>
      </c>
      <c r="B98" s="28" t="s">
        <v>1061</v>
      </c>
      <c r="C98" s="29">
        <v>12</v>
      </c>
      <c r="D98" s="23"/>
      <c r="E98" s="23"/>
      <c r="F98" s="23"/>
      <c r="G98" s="23"/>
      <c r="H98" s="23"/>
      <c r="I98" s="23"/>
    </row>
    <row r="99" spans="1:9">
      <c r="A99" s="22" t="s">
        <v>1038</v>
      </c>
      <c r="B99" s="22" t="s">
        <v>1031</v>
      </c>
      <c r="C99" s="23">
        <v>13</v>
      </c>
      <c r="D99" s="23"/>
      <c r="E99" s="23"/>
      <c r="F99" s="23"/>
      <c r="G99" s="23"/>
      <c r="H99" s="23"/>
      <c r="I99" s="23"/>
    </row>
    <row r="100" spans="1:9">
      <c r="A100" s="22" t="s">
        <v>1039</v>
      </c>
      <c r="B100" s="22" t="s">
        <v>1031</v>
      </c>
      <c r="C100" s="23">
        <v>13</v>
      </c>
      <c r="D100" s="23"/>
      <c r="E100" s="23"/>
      <c r="F100" s="23"/>
      <c r="G100" s="23"/>
      <c r="H100" s="23"/>
      <c r="I100" s="23"/>
    </row>
    <row r="101" spans="1:9">
      <c r="A101" s="22" t="s">
        <v>1040</v>
      </c>
      <c r="B101" s="22" t="s">
        <v>1031</v>
      </c>
      <c r="C101" s="23">
        <v>13</v>
      </c>
      <c r="D101" s="23"/>
      <c r="E101" s="23"/>
      <c r="F101" s="23"/>
      <c r="G101" s="23"/>
      <c r="H101" s="23"/>
      <c r="I101" s="23"/>
    </row>
    <row r="102" spans="1:9">
      <c r="A102" s="22" t="s">
        <v>1041</v>
      </c>
      <c r="B102" s="22" t="s">
        <v>1031</v>
      </c>
      <c r="C102" s="23">
        <v>13</v>
      </c>
      <c r="D102" s="23"/>
      <c r="E102" s="23"/>
      <c r="F102" s="23"/>
      <c r="G102" s="23"/>
      <c r="H102" s="23"/>
      <c r="I102" s="23"/>
    </row>
    <row r="103" spans="1:9">
      <c r="A103" s="22" t="s">
        <v>927</v>
      </c>
      <c r="B103" s="22" t="s">
        <v>1031</v>
      </c>
      <c r="C103" s="23">
        <v>13</v>
      </c>
      <c r="D103" s="23"/>
      <c r="E103" s="23"/>
      <c r="F103" s="23"/>
      <c r="G103" s="23"/>
      <c r="H103" s="23"/>
      <c r="I103" s="23"/>
    </row>
    <row r="104" spans="1:9">
      <c r="A104" s="22" t="s">
        <v>1106</v>
      </c>
      <c r="B104" s="22" t="s">
        <v>1097</v>
      </c>
      <c r="C104" s="23">
        <v>14</v>
      </c>
      <c r="D104" s="23"/>
      <c r="E104" s="23"/>
      <c r="F104" s="23"/>
      <c r="G104" s="23"/>
      <c r="H104" s="23"/>
      <c r="I104" s="23"/>
    </row>
    <row r="105" spans="1:9">
      <c r="A105" s="22" t="s">
        <v>1107</v>
      </c>
      <c r="B105" s="22" t="s">
        <v>1097</v>
      </c>
      <c r="C105" s="23">
        <v>14</v>
      </c>
      <c r="D105" s="23"/>
      <c r="E105" s="23"/>
      <c r="F105" s="23"/>
      <c r="G105" s="23"/>
      <c r="H105" s="23"/>
      <c r="I105" s="23"/>
    </row>
    <row r="106" spans="1:9">
      <c r="A106" s="22" t="s">
        <v>1108</v>
      </c>
      <c r="B106" s="22" t="s">
        <v>1097</v>
      </c>
      <c r="C106" s="23">
        <v>14</v>
      </c>
      <c r="D106" s="23"/>
      <c r="E106" s="23"/>
      <c r="F106" s="23"/>
      <c r="G106" s="23"/>
      <c r="H106" s="23"/>
      <c r="I106" s="23"/>
    </row>
    <row r="107" spans="1:9">
      <c r="A107" s="22" t="s">
        <v>1109</v>
      </c>
      <c r="B107" s="22" t="s">
        <v>1097</v>
      </c>
      <c r="C107" s="23">
        <v>14</v>
      </c>
      <c r="D107" s="23"/>
      <c r="E107" s="23"/>
      <c r="F107" s="23"/>
      <c r="G107" s="23"/>
      <c r="H107" s="23"/>
      <c r="I107" s="23"/>
    </row>
    <row r="108" spans="1:9">
      <c r="A108" s="22" t="s">
        <v>1110</v>
      </c>
      <c r="B108" s="22" t="s">
        <v>1097</v>
      </c>
      <c r="C108" s="23">
        <v>14</v>
      </c>
      <c r="D108" s="23"/>
      <c r="E108" s="23"/>
      <c r="F108" s="23"/>
      <c r="G108" s="23"/>
      <c r="H108" s="23"/>
      <c r="I108" s="23"/>
    </row>
    <row r="109" spans="1:9">
      <c r="A109" s="22" t="s">
        <v>1111</v>
      </c>
      <c r="B109" s="22" t="s">
        <v>1097</v>
      </c>
      <c r="C109" s="23">
        <v>14</v>
      </c>
      <c r="D109" s="23"/>
      <c r="E109" s="23"/>
      <c r="F109" s="23"/>
      <c r="G109" s="23"/>
      <c r="H109" s="23"/>
      <c r="I109" s="23"/>
    </row>
    <row r="110" spans="1:9">
      <c r="A110" s="22" t="s">
        <v>1112</v>
      </c>
      <c r="B110" s="22" t="s">
        <v>1097</v>
      </c>
      <c r="C110" s="23">
        <v>14</v>
      </c>
      <c r="D110" s="23"/>
      <c r="E110" s="23"/>
      <c r="F110" s="23"/>
      <c r="G110" s="23"/>
      <c r="H110" s="23"/>
      <c r="I110" s="23"/>
    </row>
    <row r="111" spans="1:9">
      <c r="A111" s="22" t="s">
        <v>1113</v>
      </c>
      <c r="B111" s="22" t="s">
        <v>1097</v>
      </c>
      <c r="C111" s="23">
        <v>14</v>
      </c>
      <c r="D111" s="23"/>
      <c r="E111" s="23"/>
      <c r="F111" s="23"/>
      <c r="G111" s="23"/>
      <c r="H111" s="23"/>
      <c r="I111" s="23"/>
    </row>
    <row r="112" spans="1:9">
      <c r="A112" s="22" t="s">
        <v>1114</v>
      </c>
      <c r="B112" s="22" t="s">
        <v>1097</v>
      </c>
      <c r="C112" s="23">
        <v>14</v>
      </c>
      <c r="D112" s="23"/>
      <c r="E112" s="23"/>
      <c r="F112" s="23"/>
      <c r="G112" s="23"/>
      <c r="H112" s="23"/>
      <c r="I112" s="23"/>
    </row>
  </sheetData>
  <autoFilter ref="A1:C112" xr:uid="{DA7AC209-399B-46DE-A186-E777887E2AAF}">
    <sortState xmlns:xlrd2="http://schemas.microsoft.com/office/spreadsheetml/2017/richdata2" ref="A2:C112">
      <sortCondition ref="C1:C112"/>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F9D8E-5017-468F-8689-A64B44F82814}">
  <dimension ref="A1:J166"/>
  <sheetViews>
    <sheetView topLeftCell="A34" zoomScaleNormal="100" workbookViewId="0">
      <selection activeCell="D60" sqref="D60"/>
    </sheetView>
  </sheetViews>
  <sheetFormatPr baseColWidth="10" defaultRowHeight="45" customHeight="1"/>
  <cols>
    <col min="2" max="2" width="66.44140625" bestFit="1" customWidth="1"/>
    <col min="3" max="3" width="85.109375" hidden="1" customWidth="1"/>
    <col min="4" max="4" width="178.88671875" customWidth="1"/>
  </cols>
  <sheetData>
    <row r="1" spans="1:10" ht="45" customHeight="1">
      <c r="A1" s="22" t="s">
        <v>1164</v>
      </c>
      <c r="B1" s="23"/>
      <c r="C1" s="23"/>
      <c r="D1" s="23"/>
      <c r="E1" s="23"/>
      <c r="F1" s="23"/>
      <c r="G1" s="23"/>
    </row>
    <row r="2" spans="1:10" ht="45" customHeight="1">
      <c r="A2" s="22" t="s">
        <v>833</v>
      </c>
      <c r="B2" s="23"/>
      <c r="C2" s="23"/>
      <c r="D2" s="22" t="s">
        <v>1121</v>
      </c>
      <c r="E2" s="23"/>
      <c r="F2" s="23"/>
      <c r="G2" s="23"/>
      <c r="H2" s="23"/>
      <c r="I2" s="23"/>
      <c r="J2" s="23"/>
    </row>
    <row r="3" spans="1:10" ht="14.4" customHeight="1">
      <c r="A3" s="26" t="s">
        <v>834</v>
      </c>
      <c r="B3" s="23"/>
      <c r="C3" s="23"/>
      <c r="D3" s="22" t="s">
        <v>1122</v>
      </c>
      <c r="E3" s="23"/>
      <c r="F3" s="23"/>
      <c r="G3" s="23"/>
      <c r="H3" s="23"/>
      <c r="I3" s="23"/>
      <c r="J3" s="23"/>
    </row>
    <row r="4" spans="1:10" ht="14.4" customHeight="1">
      <c r="A4" s="27" t="s">
        <v>835</v>
      </c>
      <c r="B4" s="23"/>
      <c r="C4" s="23"/>
      <c r="D4" s="22" t="s">
        <v>1123</v>
      </c>
      <c r="E4" s="23"/>
      <c r="F4" s="23"/>
      <c r="G4" s="23"/>
      <c r="H4" s="23"/>
      <c r="I4" s="23"/>
      <c r="J4" s="23"/>
    </row>
    <row r="5" spans="1:10" ht="14.4" customHeight="1">
      <c r="A5" s="22" t="s">
        <v>836</v>
      </c>
      <c r="B5" s="23"/>
      <c r="C5" s="23"/>
      <c r="D5" s="22" t="s">
        <v>1124</v>
      </c>
      <c r="E5" s="23"/>
      <c r="F5" s="23"/>
      <c r="G5" s="23"/>
      <c r="H5" s="23"/>
      <c r="I5" s="23"/>
      <c r="J5" s="23"/>
    </row>
    <row r="6" spans="1:10" ht="14.4" customHeight="1">
      <c r="A6" s="22" t="s">
        <v>837</v>
      </c>
      <c r="B6" s="23"/>
      <c r="C6" s="23"/>
      <c r="D6" s="22" t="s">
        <v>1125</v>
      </c>
      <c r="E6" s="23"/>
      <c r="F6" s="23"/>
      <c r="G6" s="23"/>
      <c r="H6" s="23"/>
      <c r="I6" s="23"/>
      <c r="J6" s="23"/>
    </row>
    <row r="7" spans="1:10" ht="14.4" customHeight="1">
      <c r="A7" s="22" t="s">
        <v>838</v>
      </c>
      <c r="B7" s="23"/>
      <c r="C7" s="23"/>
      <c r="D7" s="22" t="s">
        <v>1126</v>
      </c>
      <c r="E7" s="23"/>
      <c r="F7" s="23"/>
      <c r="G7" s="23"/>
      <c r="H7" s="23"/>
      <c r="I7" s="23"/>
      <c r="J7" s="23"/>
    </row>
    <row r="8" spans="1:10" ht="14.4" customHeight="1">
      <c r="A8" s="27" t="s">
        <v>839</v>
      </c>
      <c r="B8" s="33"/>
      <c r="C8" s="23"/>
      <c r="D8" s="22" t="s">
        <v>1127</v>
      </c>
      <c r="E8" s="23"/>
      <c r="F8" s="23"/>
      <c r="G8" s="23"/>
      <c r="H8" s="23"/>
      <c r="I8" s="23"/>
      <c r="J8" s="23"/>
    </row>
    <row r="9" spans="1:10" ht="14.4" customHeight="1">
      <c r="A9" s="22" t="s">
        <v>840</v>
      </c>
      <c r="B9" s="23"/>
      <c r="C9" s="23"/>
      <c r="D9" s="22" t="s">
        <v>1128</v>
      </c>
      <c r="E9" s="23"/>
      <c r="F9" s="23"/>
      <c r="G9" s="23"/>
      <c r="H9" s="23"/>
      <c r="I9" s="23"/>
      <c r="J9" s="23"/>
    </row>
    <row r="10" spans="1:10" ht="14.4" customHeight="1">
      <c r="A10" s="22" t="s">
        <v>841</v>
      </c>
      <c r="B10" s="23"/>
      <c r="C10" s="23"/>
      <c r="D10" s="22" t="s">
        <v>1129</v>
      </c>
      <c r="E10" s="23"/>
      <c r="F10" s="23"/>
      <c r="G10" s="23"/>
      <c r="H10" s="23"/>
      <c r="I10" s="23"/>
      <c r="J10" s="23"/>
    </row>
    <row r="11" spans="1:10" ht="14.4" customHeight="1">
      <c r="A11" s="22" t="s">
        <v>842</v>
      </c>
      <c r="B11" s="23"/>
      <c r="C11" s="23"/>
      <c r="D11" s="22" t="s">
        <v>1130</v>
      </c>
      <c r="E11" s="23"/>
      <c r="F11" s="23"/>
      <c r="G11" s="23"/>
      <c r="H11" s="23"/>
      <c r="I11" s="23"/>
      <c r="J11" s="23"/>
    </row>
    <row r="12" spans="1:10" ht="14.4" customHeight="1">
      <c r="A12" s="22" t="s">
        <v>843</v>
      </c>
      <c r="B12" s="23"/>
      <c r="C12" s="23"/>
      <c r="D12" s="22" t="s">
        <v>1131</v>
      </c>
      <c r="E12" s="23"/>
      <c r="F12" s="23"/>
      <c r="G12" s="23"/>
      <c r="H12" s="23"/>
      <c r="I12" s="23"/>
      <c r="J12" s="23"/>
    </row>
    <row r="13" spans="1:10" ht="14.4" customHeight="1">
      <c r="A13" s="22" t="s">
        <v>844</v>
      </c>
      <c r="B13" s="23"/>
      <c r="C13" s="23"/>
      <c r="D13" s="22" t="s">
        <v>1132</v>
      </c>
      <c r="E13" s="23"/>
      <c r="F13" s="23"/>
      <c r="G13" s="23"/>
      <c r="H13" s="23"/>
      <c r="I13" s="23"/>
      <c r="J13" s="23"/>
    </row>
    <row r="14" spans="1:10" ht="14.4" customHeight="1">
      <c r="A14" s="35" t="s">
        <v>845</v>
      </c>
      <c r="B14" s="36"/>
      <c r="C14" s="23"/>
      <c r="D14" s="22" t="s">
        <v>1133</v>
      </c>
      <c r="E14" s="23"/>
      <c r="F14" s="23"/>
      <c r="G14" s="23"/>
      <c r="H14" s="23"/>
      <c r="I14" s="23"/>
      <c r="J14" s="23"/>
    </row>
    <row r="15" spans="1:10" ht="14.4" customHeight="1">
      <c r="A15" s="35" t="s">
        <v>846</v>
      </c>
      <c r="B15" s="36"/>
      <c r="C15" s="23"/>
      <c r="D15" s="22" t="s">
        <v>1134</v>
      </c>
      <c r="E15" s="23"/>
      <c r="F15" s="23"/>
      <c r="G15" s="23"/>
      <c r="H15" s="23"/>
      <c r="I15" s="23"/>
      <c r="J15" s="23"/>
    </row>
    <row r="16" spans="1:10" ht="14.4" customHeight="1">
      <c r="A16" s="22" t="s">
        <v>1165</v>
      </c>
      <c r="B16" s="23"/>
      <c r="C16" s="23"/>
      <c r="D16" s="22" t="s">
        <v>1128</v>
      </c>
      <c r="E16" s="23"/>
      <c r="F16" s="23"/>
      <c r="G16" s="23"/>
      <c r="H16" s="23"/>
      <c r="I16" s="23"/>
      <c r="J16" s="23"/>
    </row>
    <row r="17" spans="2:10" ht="14.4" customHeight="1">
      <c r="D17" s="22" t="s">
        <v>1135</v>
      </c>
      <c r="E17" s="23"/>
      <c r="F17" s="23"/>
      <c r="G17" s="23"/>
      <c r="H17" s="23"/>
      <c r="I17" s="23"/>
      <c r="J17" s="23"/>
    </row>
    <row r="18" spans="2:10" ht="14.4" customHeight="1">
      <c r="B18" s="16" t="s">
        <v>812</v>
      </c>
      <c r="D18" s="22" t="s">
        <v>1126</v>
      </c>
      <c r="E18" s="23"/>
      <c r="F18" s="23"/>
      <c r="G18" s="23"/>
      <c r="H18" s="23"/>
      <c r="I18" s="23"/>
      <c r="J18" s="23"/>
    </row>
    <row r="19" spans="2:10" ht="14.4" customHeight="1">
      <c r="B19" s="16" t="s">
        <v>813</v>
      </c>
      <c r="C19" s="2" t="s">
        <v>831</v>
      </c>
      <c r="D19" s="22" t="s">
        <v>1136</v>
      </c>
      <c r="E19" s="23"/>
      <c r="F19" s="23"/>
      <c r="G19" s="23"/>
      <c r="H19" s="23"/>
      <c r="I19" s="23"/>
      <c r="J19" s="23"/>
    </row>
    <row r="20" spans="2:10" ht="14.4" customHeight="1">
      <c r="B20" s="16" t="s">
        <v>814</v>
      </c>
      <c r="D20" s="22" t="s">
        <v>1137</v>
      </c>
      <c r="E20" s="23"/>
      <c r="F20" s="23"/>
      <c r="G20" s="23"/>
      <c r="H20" s="23"/>
      <c r="I20" s="23"/>
      <c r="J20" s="23"/>
    </row>
    <row r="21" spans="2:10" ht="14.4" customHeight="1">
      <c r="B21" s="16" t="s">
        <v>815</v>
      </c>
      <c r="D21" s="22" t="s">
        <v>1125</v>
      </c>
      <c r="E21" s="23"/>
      <c r="F21" s="23"/>
      <c r="G21" s="23"/>
      <c r="H21" s="23"/>
      <c r="I21" s="23"/>
      <c r="J21" s="23"/>
    </row>
    <row r="22" spans="2:10" ht="14.4" customHeight="1">
      <c r="B22" s="17"/>
      <c r="D22" s="22" t="s">
        <v>1126</v>
      </c>
      <c r="E22" s="23"/>
      <c r="F22" s="23"/>
      <c r="G22" s="23"/>
      <c r="H22" s="23"/>
      <c r="I22" s="23"/>
      <c r="J22" s="23"/>
    </row>
    <row r="23" spans="2:10" ht="14.4" customHeight="1">
      <c r="B23" s="16" t="s">
        <v>816</v>
      </c>
      <c r="D23" s="22" t="s">
        <v>1136</v>
      </c>
      <c r="E23" s="23"/>
      <c r="F23" s="23"/>
      <c r="G23" s="23"/>
      <c r="H23" s="23"/>
      <c r="I23" s="23"/>
      <c r="J23" s="23"/>
    </row>
    <row r="24" spans="2:10" ht="14.4" customHeight="1">
      <c r="B24" s="16" t="s">
        <v>817</v>
      </c>
      <c r="D24" s="22" t="s">
        <v>1138</v>
      </c>
      <c r="E24" s="23"/>
      <c r="F24" s="23"/>
      <c r="G24" s="23"/>
      <c r="H24" s="23"/>
      <c r="I24" s="23"/>
      <c r="J24" s="23"/>
    </row>
    <row r="25" spans="2:10" ht="14.4" customHeight="1">
      <c r="B25" s="17"/>
      <c r="D25" s="22" t="s">
        <v>1139</v>
      </c>
      <c r="E25" s="23"/>
      <c r="F25" s="23"/>
      <c r="G25" s="23"/>
      <c r="H25" s="23"/>
      <c r="I25" s="23"/>
      <c r="J25" s="23"/>
    </row>
    <row r="26" spans="2:10" ht="14.4" customHeight="1">
      <c r="B26" s="16" t="s">
        <v>818</v>
      </c>
      <c r="D26" s="22" t="s">
        <v>1140</v>
      </c>
      <c r="E26" s="23"/>
      <c r="F26" s="23"/>
      <c r="G26" s="23"/>
      <c r="H26" s="23"/>
      <c r="I26" s="23"/>
      <c r="J26" s="23"/>
    </row>
    <row r="27" spans="2:10" ht="14.4" customHeight="1">
      <c r="B27" s="16" t="s">
        <v>819</v>
      </c>
      <c r="D27" s="22" t="s">
        <v>1125</v>
      </c>
      <c r="E27" s="23"/>
      <c r="F27" s="23"/>
      <c r="G27" s="23"/>
      <c r="H27" s="23"/>
      <c r="I27" s="23"/>
      <c r="J27" s="23"/>
    </row>
    <row r="28" spans="2:10" ht="14.4" customHeight="1">
      <c r="B28" s="17"/>
      <c r="D28" s="22" t="s">
        <v>1126</v>
      </c>
      <c r="E28" s="23"/>
      <c r="F28" s="23"/>
      <c r="G28" s="23"/>
      <c r="H28" s="23"/>
      <c r="I28" s="23"/>
      <c r="J28" s="23"/>
    </row>
    <row r="29" spans="2:10" ht="14.4" customHeight="1">
      <c r="B29" s="16" t="s">
        <v>820</v>
      </c>
      <c r="D29" s="22" t="s">
        <v>1127</v>
      </c>
      <c r="E29" s="23"/>
      <c r="F29" s="23"/>
      <c r="G29" s="23"/>
      <c r="H29" s="23"/>
      <c r="I29" s="23"/>
      <c r="J29" s="23"/>
    </row>
    <row r="30" spans="2:10" ht="14.4" customHeight="1">
      <c r="B30" s="16" t="s">
        <v>821</v>
      </c>
      <c r="D30" s="22" t="s">
        <v>1128</v>
      </c>
      <c r="E30" s="23"/>
      <c r="F30" s="23"/>
      <c r="G30" s="23"/>
      <c r="H30" s="23"/>
      <c r="I30" s="23"/>
      <c r="J30" s="23"/>
    </row>
    <row r="31" spans="2:10" ht="14.4" customHeight="1">
      <c r="B31" s="16" t="s">
        <v>822</v>
      </c>
      <c r="D31" s="22" t="s">
        <v>1129</v>
      </c>
      <c r="E31" s="23"/>
      <c r="F31" s="23"/>
      <c r="G31" s="23"/>
      <c r="H31" s="23"/>
      <c r="I31" s="23"/>
      <c r="J31" s="23"/>
    </row>
    <row r="32" spans="2:10" ht="14.4" customHeight="1">
      <c r="B32" s="17"/>
      <c r="D32" s="22" t="s">
        <v>1130</v>
      </c>
      <c r="E32" s="23"/>
      <c r="F32" s="23"/>
      <c r="G32" s="23"/>
      <c r="H32" s="23"/>
      <c r="I32" s="23"/>
      <c r="J32" s="23"/>
    </row>
    <row r="33" spans="2:10" ht="14.4" customHeight="1">
      <c r="B33" s="16" t="s">
        <v>823</v>
      </c>
      <c r="D33" s="22" t="s">
        <v>1141</v>
      </c>
      <c r="E33" s="23"/>
      <c r="F33" s="23"/>
      <c r="G33" s="23"/>
      <c r="H33" s="23"/>
      <c r="I33" s="23"/>
      <c r="J33" s="23"/>
    </row>
    <row r="34" spans="2:10" ht="14.4" customHeight="1">
      <c r="B34" s="16" t="s">
        <v>824</v>
      </c>
      <c r="D34" s="22" t="s">
        <v>1142</v>
      </c>
      <c r="E34" s="23"/>
      <c r="F34" s="23"/>
      <c r="G34" s="23"/>
      <c r="H34" s="23"/>
      <c r="I34" s="23"/>
      <c r="J34" s="23"/>
    </row>
    <row r="35" spans="2:10" ht="14.4" customHeight="1">
      <c r="B35" s="16" t="s">
        <v>825</v>
      </c>
      <c r="D35" s="22" t="s">
        <v>1143</v>
      </c>
      <c r="E35" s="23"/>
      <c r="F35" s="23"/>
      <c r="G35" s="23"/>
      <c r="H35" s="23"/>
      <c r="I35" s="23"/>
      <c r="J35" s="23"/>
    </row>
    <row r="36" spans="2:10" ht="14.4" customHeight="1">
      <c r="B36" s="17"/>
      <c r="D36" s="22" t="s">
        <v>1134</v>
      </c>
      <c r="E36" s="23"/>
      <c r="F36" s="23"/>
      <c r="G36" s="23"/>
      <c r="H36" s="23"/>
      <c r="I36" s="23"/>
      <c r="J36" s="23"/>
    </row>
    <row r="37" spans="2:10" ht="14.4" customHeight="1">
      <c r="B37" s="16" t="s">
        <v>826</v>
      </c>
      <c r="D37" s="22" t="s">
        <v>1128</v>
      </c>
      <c r="E37" s="23"/>
      <c r="F37" s="23"/>
      <c r="G37" s="23"/>
      <c r="H37" s="23"/>
      <c r="I37" s="23"/>
      <c r="J37" s="23"/>
    </row>
    <row r="38" spans="2:10" ht="14.4" customHeight="1">
      <c r="B38" s="16" t="s">
        <v>827</v>
      </c>
      <c r="D38" s="22" t="s">
        <v>1144</v>
      </c>
      <c r="E38" s="23"/>
      <c r="F38" s="23"/>
      <c r="G38" s="23"/>
      <c r="H38" s="23"/>
      <c r="I38" s="23"/>
      <c r="J38" s="23"/>
    </row>
    <row r="39" spans="2:10" ht="14.4" customHeight="1">
      <c r="B39" s="16" t="s">
        <v>828</v>
      </c>
      <c r="D39" s="22" t="s">
        <v>1145</v>
      </c>
      <c r="E39" s="23"/>
      <c r="F39" s="23"/>
      <c r="G39" s="23"/>
      <c r="H39" s="23"/>
      <c r="I39" s="23"/>
      <c r="J39" s="23"/>
    </row>
    <row r="40" spans="2:10" ht="14.4" customHeight="1">
      <c r="B40" s="16" t="s">
        <v>829</v>
      </c>
      <c r="D40" s="22" t="s">
        <v>1146</v>
      </c>
      <c r="E40" s="23"/>
      <c r="F40" s="23"/>
      <c r="G40" s="23"/>
      <c r="H40" s="23"/>
      <c r="I40" s="23"/>
      <c r="J40" s="23"/>
    </row>
    <row r="41" spans="2:10" ht="14.4" customHeight="1">
      <c r="B41" s="16" t="s">
        <v>830</v>
      </c>
      <c r="D41" s="22" t="s">
        <v>1147</v>
      </c>
      <c r="E41" s="23"/>
      <c r="F41" s="23"/>
      <c r="G41" s="23"/>
      <c r="H41" s="23"/>
      <c r="I41" s="23"/>
      <c r="J41" s="23"/>
    </row>
    <row r="42" spans="2:10" ht="14.4" customHeight="1">
      <c r="D42" s="22" t="s">
        <v>1148</v>
      </c>
      <c r="E42" s="23"/>
      <c r="F42" s="23"/>
      <c r="G42" s="23"/>
      <c r="H42" s="23"/>
      <c r="I42" s="23"/>
      <c r="J42" s="23"/>
    </row>
    <row r="43" spans="2:10" ht="14.4" customHeight="1">
      <c r="D43" s="22" t="s">
        <v>1149</v>
      </c>
      <c r="E43" s="23"/>
      <c r="F43" s="23"/>
      <c r="G43" s="23"/>
      <c r="H43" s="23"/>
      <c r="I43" s="23"/>
      <c r="J43" s="23"/>
    </row>
    <row r="44" spans="2:10" ht="14.4" customHeight="1">
      <c r="B44" s="18" t="s">
        <v>832</v>
      </c>
      <c r="C44" s="19"/>
      <c r="D44" s="22" t="s">
        <v>1128</v>
      </c>
      <c r="E44" s="23"/>
      <c r="F44" s="23"/>
      <c r="G44" s="23"/>
      <c r="H44" s="23"/>
      <c r="I44" s="23"/>
      <c r="J44" s="23"/>
    </row>
    <row r="45" spans="2:10" ht="14.4" customHeight="1">
      <c r="B45" s="18" t="s">
        <v>833</v>
      </c>
      <c r="C45" s="19"/>
      <c r="D45" s="22" t="s">
        <v>1135</v>
      </c>
      <c r="E45" s="23"/>
      <c r="F45" s="23"/>
      <c r="G45" s="23"/>
      <c r="H45" s="23"/>
      <c r="I45" s="23"/>
      <c r="J45" s="23"/>
    </row>
    <row r="46" spans="2:10" ht="14.4" customHeight="1">
      <c r="B46" s="18" t="s">
        <v>834</v>
      </c>
      <c r="C46" s="19"/>
      <c r="D46" s="22" t="s">
        <v>1126</v>
      </c>
      <c r="E46" s="23"/>
      <c r="F46" s="23"/>
      <c r="G46" s="23"/>
      <c r="H46" s="23"/>
      <c r="I46" s="23"/>
      <c r="J46" s="23"/>
    </row>
    <row r="47" spans="2:10" ht="14.4" customHeight="1">
      <c r="B47" s="18" t="s">
        <v>835</v>
      </c>
      <c r="C47" s="19"/>
      <c r="D47" s="22" t="s">
        <v>1136</v>
      </c>
      <c r="E47" s="23"/>
      <c r="F47" s="23"/>
      <c r="G47" s="23"/>
      <c r="H47" s="23"/>
      <c r="I47" s="23"/>
      <c r="J47" s="23"/>
    </row>
    <row r="48" spans="2:10" ht="14.4" customHeight="1">
      <c r="B48" s="18" t="s">
        <v>836</v>
      </c>
      <c r="C48" s="19"/>
      <c r="D48" s="22" t="s">
        <v>1150</v>
      </c>
      <c r="E48" s="23"/>
      <c r="F48" s="23"/>
      <c r="G48" s="23"/>
      <c r="H48" s="23"/>
      <c r="I48" s="23"/>
      <c r="J48" s="23"/>
    </row>
    <row r="49" spans="2:10" ht="14.4" customHeight="1">
      <c r="B49" s="18" t="s">
        <v>837</v>
      </c>
      <c r="C49" s="19"/>
      <c r="D49" s="22" t="s">
        <v>1151</v>
      </c>
      <c r="E49" s="23"/>
      <c r="F49" s="23"/>
      <c r="G49" s="23"/>
      <c r="H49" s="23"/>
      <c r="I49" s="23"/>
      <c r="J49" s="23"/>
    </row>
    <row r="50" spans="2:10" ht="14.4" customHeight="1">
      <c r="B50" s="18" t="s">
        <v>838</v>
      </c>
      <c r="C50" s="19"/>
      <c r="D50" s="22" t="s">
        <v>1152</v>
      </c>
      <c r="E50" s="23"/>
      <c r="F50" s="23"/>
      <c r="G50" s="23"/>
      <c r="H50" s="23"/>
      <c r="I50" s="23"/>
      <c r="J50" s="23"/>
    </row>
    <row r="51" spans="2:10" ht="14.4" customHeight="1">
      <c r="B51" s="18" t="s">
        <v>839</v>
      </c>
      <c r="C51" s="19"/>
      <c r="D51" s="22" t="s">
        <v>1153</v>
      </c>
      <c r="E51" s="23"/>
      <c r="F51" s="23"/>
      <c r="G51" s="23"/>
      <c r="H51" s="23"/>
      <c r="I51" s="23"/>
      <c r="J51" s="23"/>
    </row>
    <row r="52" spans="2:10" ht="14.4" customHeight="1">
      <c r="B52" s="18" t="s">
        <v>840</v>
      </c>
      <c r="C52" s="19"/>
      <c r="D52" s="22" t="s">
        <v>1154</v>
      </c>
      <c r="E52" s="23"/>
      <c r="F52" s="23"/>
      <c r="G52" s="23"/>
      <c r="H52" s="23"/>
      <c r="I52" s="23"/>
      <c r="J52" s="23"/>
    </row>
    <row r="53" spans="2:10" ht="14.4" customHeight="1">
      <c r="B53" s="18" t="s">
        <v>841</v>
      </c>
      <c r="C53" s="19"/>
      <c r="D53" s="22" t="s">
        <v>1125</v>
      </c>
      <c r="E53" s="23"/>
      <c r="F53" s="23"/>
      <c r="G53" s="23"/>
      <c r="H53" s="23"/>
      <c r="I53" s="23"/>
      <c r="J53" s="23"/>
    </row>
    <row r="54" spans="2:10" ht="14.4" customHeight="1">
      <c r="B54" s="18" t="s">
        <v>842</v>
      </c>
      <c r="C54" s="19"/>
      <c r="D54" s="22" t="s">
        <v>1126</v>
      </c>
      <c r="E54" s="23"/>
      <c r="F54" s="23"/>
      <c r="G54" s="23"/>
      <c r="H54" s="23"/>
      <c r="I54" s="23"/>
      <c r="J54" s="23"/>
    </row>
    <row r="55" spans="2:10" ht="14.4" customHeight="1">
      <c r="B55" s="18" t="s">
        <v>843</v>
      </c>
      <c r="C55" s="19"/>
      <c r="D55" s="22" t="s">
        <v>1127</v>
      </c>
      <c r="E55" s="23"/>
      <c r="F55" s="23"/>
      <c r="G55" s="23"/>
      <c r="H55" s="23"/>
      <c r="I55" s="23"/>
      <c r="J55" s="23"/>
    </row>
    <row r="56" spans="2:10" ht="14.4" customHeight="1">
      <c r="B56" s="18" t="s">
        <v>844</v>
      </c>
      <c r="C56" s="19"/>
      <c r="D56" s="22" t="s">
        <v>1128</v>
      </c>
      <c r="E56" s="23"/>
      <c r="F56" s="23"/>
      <c r="G56" s="23"/>
      <c r="H56" s="23"/>
      <c r="I56" s="23"/>
      <c r="J56" s="23"/>
    </row>
    <row r="57" spans="2:10" ht="14.4" customHeight="1">
      <c r="B57" s="18" t="s">
        <v>845</v>
      </c>
      <c r="C57" s="19"/>
      <c r="D57" s="22" t="s">
        <v>1129</v>
      </c>
      <c r="E57" s="23"/>
      <c r="F57" s="23"/>
      <c r="G57" s="23"/>
      <c r="H57" s="23"/>
      <c r="I57" s="23"/>
      <c r="J57" s="23"/>
    </row>
    <row r="58" spans="2:10" ht="14.4" customHeight="1">
      <c r="B58" s="18" t="s">
        <v>846</v>
      </c>
      <c r="C58" s="19"/>
      <c r="D58" s="22" t="s">
        <v>1130</v>
      </c>
      <c r="E58" s="23"/>
      <c r="F58" s="23"/>
      <c r="G58" s="23"/>
      <c r="H58" s="23"/>
      <c r="I58" s="23"/>
      <c r="J58" s="23"/>
    </row>
    <row r="59" spans="2:10" ht="14.4" customHeight="1">
      <c r="B59" s="18" t="s">
        <v>847</v>
      </c>
      <c r="C59" s="19"/>
      <c r="D59" s="22" t="s">
        <v>1155</v>
      </c>
      <c r="E59" s="23"/>
      <c r="F59" s="23"/>
      <c r="G59" s="23"/>
      <c r="H59" s="23"/>
      <c r="I59" s="23"/>
      <c r="J59" s="23"/>
    </row>
    <row r="60" spans="2:10" ht="14.4" customHeight="1">
      <c r="D60" s="22" t="s">
        <v>1156</v>
      </c>
      <c r="E60" s="23"/>
      <c r="F60" s="23"/>
      <c r="G60" s="23"/>
      <c r="H60" s="23"/>
      <c r="I60" s="23"/>
      <c r="J60" s="23"/>
    </row>
    <row r="61" spans="2:10" ht="14.4" customHeight="1">
      <c r="D61" s="22" t="s">
        <v>1157</v>
      </c>
      <c r="E61" s="23"/>
      <c r="F61" s="23"/>
      <c r="G61" s="23"/>
      <c r="H61" s="23"/>
      <c r="I61" s="23"/>
      <c r="J61" s="23"/>
    </row>
    <row r="62" spans="2:10" ht="14.4" customHeight="1">
      <c r="D62" s="22" t="s">
        <v>1134</v>
      </c>
      <c r="E62" s="23"/>
      <c r="F62" s="23"/>
      <c r="G62" s="23"/>
      <c r="H62" s="23"/>
      <c r="I62" s="23"/>
      <c r="J62" s="23"/>
    </row>
    <row r="63" spans="2:10" ht="14.4" customHeight="1">
      <c r="D63" s="22" t="s">
        <v>1128</v>
      </c>
      <c r="E63" s="23"/>
      <c r="F63" s="23"/>
      <c r="G63" s="23"/>
      <c r="H63" s="23"/>
      <c r="I63" s="23"/>
      <c r="J63" s="23"/>
    </row>
    <row r="64" spans="2:10" ht="14.4" customHeight="1">
      <c r="D64" s="22" t="s">
        <v>1135</v>
      </c>
      <c r="E64" s="23"/>
      <c r="F64" s="23"/>
      <c r="G64" s="23"/>
      <c r="H64" s="23"/>
      <c r="I64" s="23"/>
      <c r="J64" s="23"/>
    </row>
    <row r="65" spans="4:10" ht="14.4" customHeight="1">
      <c r="D65" s="22" t="s">
        <v>1126</v>
      </c>
      <c r="E65" s="23"/>
      <c r="F65" s="23"/>
      <c r="G65" s="23"/>
      <c r="H65" s="23"/>
      <c r="I65" s="23"/>
      <c r="J65" s="23"/>
    </row>
    <row r="66" spans="4:10" ht="14.4" customHeight="1">
      <c r="D66" s="22" t="s">
        <v>1136</v>
      </c>
      <c r="E66" s="23"/>
      <c r="F66" s="23"/>
      <c r="G66" s="23"/>
      <c r="H66" s="23"/>
      <c r="I66" s="23"/>
      <c r="J66" s="23"/>
    </row>
    <row r="67" spans="4:10" ht="14.4" customHeight="1">
      <c r="D67" s="22" t="s">
        <v>1158</v>
      </c>
      <c r="E67" s="23"/>
      <c r="F67" s="23"/>
      <c r="G67" s="23"/>
      <c r="H67" s="23"/>
      <c r="I67" s="23"/>
      <c r="J67" s="23"/>
    </row>
    <row r="68" spans="4:10" ht="14.4" customHeight="1">
      <c r="D68" s="22" t="s">
        <v>1159</v>
      </c>
      <c r="E68" s="23"/>
      <c r="F68" s="23"/>
      <c r="G68" s="23"/>
      <c r="H68" s="23"/>
      <c r="I68" s="23"/>
      <c r="J68" s="23"/>
    </row>
    <row r="69" spans="4:10" ht="14.4" customHeight="1">
      <c r="D69" s="22" t="s">
        <v>1160</v>
      </c>
      <c r="E69" s="23"/>
      <c r="F69" s="23"/>
      <c r="G69" s="23"/>
      <c r="H69" s="23"/>
      <c r="I69" s="23"/>
      <c r="J69" s="23"/>
    </row>
    <row r="70" spans="4:10" ht="14.4" customHeight="1">
      <c r="D70" s="22" t="s">
        <v>1161</v>
      </c>
      <c r="E70" s="23"/>
      <c r="F70" s="23"/>
      <c r="G70" s="23"/>
      <c r="H70" s="23"/>
      <c r="I70" s="23"/>
      <c r="J70" s="23"/>
    </row>
    <row r="71" spans="4:10" ht="14.4" customHeight="1">
      <c r="D71" s="22" t="s">
        <v>1162</v>
      </c>
      <c r="E71" s="23"/>
      <c r="F71" s="23"/>
      <c r="G71" s="23"/>
      <c r="H71" s="23"/>
      <c r="I71" s="23"/>
      <c r="J71" s="23"/>
    </row>
    <row r="72" spans="4:10" ht="14.4" customHeight="1">
      <c r="E72" s="23"/>
      <c r="F72" s="23"/>
      <c r="G72" s="23"/>
      <c r="H72" s="23"/>
      <c r="I72" s="23"/>
      <c r="J72" s="23"/>
    </row>
    <row r="73" spans="4:10" ht="14.4">
      <c r="E73" s="23"/>
      <c r="F73" s="23"/>
      <c r="G73" s="23"/>
      <c r="H73" s="23"/>
      <c r="I73" s="23"/>
      <c r="J73" s="23"/>
    </row>
    <row r="74" spans="4:10" ht="14.4"/>
    <row r="75" spans="4:10" ht="14.4"/>
    <row r="76" spans="4:10" ht="14.4"/>
    <row r="77" spans="4:10" ht="14.4"/>
    <row r="78" spans="4:10" ht="14.4"/>
    <row r="79" spans="4:10" ht="14.4"/>
    <row r="80" spans="4:10" ht="14.4"/>
    <row r="81" ht="14.4"/>
    <row r="82" ht="14.4"/>
    <row r="83" ht="14.4"/>
    <row r="84" ht="14.4"/>
    <row r="85" ht="14.4"/>
    <row r="86" ht="14.4"/>
    <row r="87" ht="14.4"/>
    <row r="88" ht="14.4"/>
    <row r="89" ht="14.4"/>
    <row r="90" ht="14.4"/>
    <row r="91" ht="14.4"/>
    <row r="92" ht="14.4"/>
    <row r="93" ht="14.4"/>
    <row r="94" ht="14.4"/>
    <row r="95" ht="14.4"/>
    <row r="96" ht="14.4"/>
    <row r="97" ht="14.4"/>
    <row r="98" ht="14.4"/>
    <row r="99" ht="14.4"/>
    <row r="100" ht="14.4"/>
    <row r="101" ht="14.4"/>
    <row r="102" ht="14.4"/>
    <row r="103" ht="14.4"/>
    <row r="104" ht="14.4"/>
    <row r="105" ht="14.4"/>
    <row r="106" ht="14.4"/>
    <row r="107" ht="14.4"/>
    <row r="108" ht="14.4"/>
    <row r="109" ht="14.4"/>
    <row r="110" ht="14.4"/>
    <row r="111" ht="14.4"/>
    <row r="112" ht="14.4"/>
    <row r="113" ht="14.4"/>
    <row r="114" ht="14.4"/>
    <row r="115" ht="14.4"/>
    <row r="116" ht="14.4"/>
    <row r="117" ht="14.4"/>
    <row r="118" ht="14.4"/>
    <row r="119" ht="14.4"/>
    <row r="120" ht="14.4"/>
    <row r="121" ht="14.4"/>
    <row r="122" ht="14.4"/>
    <row r="123" ht="14.4"/>
    <row r="124" ht="14.4"/>
    <row r="125" ht="14.4"/>
    <row r="126" ht="14.4"/>
    <row r="127" ht="14.4"/>
    <row r="128" ht="14.4"/>
    <row r="129" ht="14.4"/>
    <row r="130" ht="14.4"/>
    <row r="131" ht="14.4"/>
    <row r="132" ht="14.4"/>
    <row r="133" ht="14.4"/>
    <row r="134" ht="14.4"/>
    <row r="135" ht="14.4"/>
    <row r="136" ht="14.4"/>
    <row r="137" ht="14.4"/>
    <row r="138" ht="14.4"/>
    <row r="139" ht="14.4"/>
    <row r="140" ht="14.4"/>
    <row r="141" ht="14.4"/>
    <row r="142" ht="14.4"/>
    <row r="143" ht="14.4"/>
    <row r="144" ht="14.4"/>
    <row r="145" ht="14.4"/>
    <row r="146" ht="14.4"/>
    <row r="147" ht="14.4"/>
    <row r="148" ht="14.4"/>
    <row r="149" ht="14.4"/>
    <row r="150" ht="14.4"/>
    <row r="151" ht="14.4"/>
    <row r="152" ht="14.4"/>
    <row r="153" ht="14.4"/>
    <row r="154" ht="14.4"/>
    <row r="155" ht="14.4"/>
    <row r="156" ht="14.4"/>
    <row r="157" ht="14.4"/>
    <row r="158" ht="14.4"/>
    <row r="159" ht="14.4"/>
    <row r="160" ht="14.4"/>
    <row r="161" ht="14.4"/>
    <row r="162" ht="14.4"/>
    <row r="163" ht="14.4"/>
    <row r="164" ht="14.4"/>
    <row r="165" ht="14.4"/>
    <row r="166" ht="14.4"/>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DD0CD-6695-4D3C-9518-BDB565BCCF21}">
  <dimension ref="B3:B5"/>
  <sheetViews>
    <sheetView tabSelected="1" topLeftCell="A5" workbookViewId="0">
      <selection activeCell="B5" sqref="B5"/>
    </sheetView>
  </sheetViews>
  <sheetFormatPr baseColWidth="10" defaultRowHeight="14.4"/>
  <cols>
    <col min="2" max="2" width="101.44140625" customWidth="1"/>
  </cols>
  <sheetData>
    <row r="3" spans="2:2">
      <c r="B3" s="2"/>
    </row>
    <row r="5" spans="2:2" ht="409.6">
      <c r="B5" s="2" t="s">
        <v>769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Suite Test</vt:lpstr>
      <vt:lpstr>Promts</vt:lpstr>
      <vt:lpstr>Unit Test</vt:lpstr>
      <vt:lpstr>Hoja4</vt:lpstr>
      <vt:lpstr>Hoja2</vt:lpstr>
      <vt:lpstr>Agentes</vt:lpstr>
      <vt:lpstr>promt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 García Gracia</dc:creator>
  <cp:lastModifiedBy>Jesús García Gracia- GRUPO ASSA</cp:lastModifiedBy>
  <dcterms:created xsi:type="dcterms:W3CDTF">2026-01-31T18:52:38Z</dcterms:created>
  <dcterms:modified xsi:type="dcterms:W3CDTF">2026-02-07T23:03:54Z</dcterms:modified>
</cp:coreProperties>
</file>